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https://d.docs.live.net/92749998a90a7088/Documents/"/>
    </mc:Choice>
  </mc:AlternateContent>
  <xr:revisionPtr revIDLastSave="2" documentId="8_{EB561B05-31C4-4BB2-BD0B-B27A9BAC49A1}" xr6:coauthVersionLast="47" xr6:coauthVersionMax="47" xr10:uidLastSave="{A65C477E-203E-47B3-9BA2-F86FE91B35E5}"/>
  <bookViews>
    <workbookView xWindow="-110" yWindow="-110" windowWidth="19420" windowHeight="10420" firstSheet="1" activeTab="4" xr2:uid="{B04AB7A9-4557-45FF-A2C2-EEF69D053674}"/>
  </bookViews>
  <sheets>
    <sheet name="Raw Data" sheetId="2" r:id="rId1"/>
    <sheet name="Cleaned Data" sheetId="1" r:id="rId2"/>
    <sheet name="Pivot Table" sheetId="4" r:id="rId3"/>
    <sheet name="Pivot Chart" sheetId="5" r:id="rId4"/>
    <sheet name="Dashboard" sheetId="3" r:id="rId5"/>
  </sheets>
  <definedNames>
    <definedName name="_xlcn.WorksheetConnection_HospitalManagementReport.xlsxTable11" hidden="1">Table1[]</definedName>
    <definedName name="Slicer_Admission_Month">#N/A</definedName>
    <definedName name="Slicer_Department_Cleaned">#N/A</definedName>
    <definedName name="Slicer_Payment_Mode">#N/A</definedName>
  </definedNames>
  <calcPr calcId="191029"/>
  <pivotCaches>
    <pivotCache cacheId="55" r:id="rId6"/>
    <pivotCache cacheId="45" r:id="rId7"/>
    <pivotCache cacheId="46" r:id="rId8"/>
    <pivotCache cacheId="49"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Hospital Management Repor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H4" i="3"/>
  <c r="E4" i="3"/>
  <c r="B4" i="3"/>
  <c r="K4"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460AB1-6A00-4DC9-8E85-F2881D868FCF}"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F24EA9C-A9F2-4D59-A74A-13E0C85A7CF1}" name="WorksheetConnection_Hospital Management Report.xlsx!Table1" type="102" refreshedVersion="7" minRefreshableVersion="5">
    <extLst>
      <ext xmlns:x15="http://schemas.microsoft.com/office/spreadsheetml/2010/11/main" uri="{DE250136-89BD-433C-8126-D09CA5730AF9}">
        <x15:connection id="Table1" autoDelete="1">
          <x15:rangePr sourceName="_xlcn.WorksheetConnection_HospitalManagementReport.xlsxTable11"/>
        </x15:connection>
      </ext>
    </extLst>
  </connection>
</connections>
</file>

<file path=xl/sharedStrings.xml><?xml version="1.0" encoding="utf-8"?>
<sst xmlns="http://schemas.openxmlformats.org/spreadsheetml/2006/main" count="1497" uniqueCount="216">
  <si>
    <t>Patient_ID</t>
  </si>
  <si>
    <t>Patient_Name</t>
  </si>
  <si>
    <t>Age</t>
  </si>
  <si>
    <t>Age_Group</t>
  </si>
  <si>
    <t>Gender</t>
  </si>
  <si>
    <t>Admission_Date</t>
  </si>
  <si>
    <t>Discharge_Date</t>
  </si>
  <si>
    <t>Length_of_Stay_Days</t>
  </si>
  <si>
    <t>Admission_Month</t>
  </si>
  <si>
    <t>Department</t>
  </si>
  <si>
    <t>Doctor_Name</t>
  </si>
  <si>
    <t>Room_Charges</t>
  </si>
  <si>
    <t>Lab_Charges</t>
  </si>
  <si>
    <t>Medicine_Charges</t>
  </si>
  <si>
    <t>Total_Bill</t>
  </si>
  <si>
    <t>Payment_Mode</t>
  </si>
  <si>
    <t>Insurance_Provider</t>
  </si>
  <si>
    <t>Neha Das</t>
  </si>
  <si>
    <t>35-49</t>
  </si>
  <si>
    <t>Female</t>
  </si>
  <si>
    <t>2024-03-13</t>
  </si>
  <si>
    <t>2024-03-15</t>
  </si>
  <si>
    <t>March</t>
  </si>
  <si>
    <t>Cardiology</t>
  </si>
  <si>
    <t>Dr. Mehta</t>
  </si>
  <si>
    <t>Card</t>
  </si>
  <si>
    <t>N/A</t>
  </si>
  <si>
    <t>Manoj Yadav</t>
  </si>
  <si>
    <t>50+</t>
  </si>
  <si>
    <t>2024-02-02</t>
  </si>
  <si>
    <t>2024-02-10</t>
  </si>
  <si>
    <t>February</t>
  </si>
  <si>
    <t>Gynecology</t>
  </si>
  <si>
    <t>Dr. Nair</t>
  </si>
  <si>
    <t>UPI</t>
  </si>
  <si>
    <t>Rahul Kumar</t>
  </si>
  <si>
    <t>Male</t>
  </si>
  <si>
    <t>2024-01-09</t>
  </si>
  <si>
    <t>2024-01-14</t>
  </si>
  <si>
    <t>January</t>
  </si>
  <si>
    <t>General Medicine</t>
  </si>
  <si>
    <t>Dr. Khanna</t>
  </si>
  <si>
    <t>Kavya Iyer</t>
  </si>
  <si>
    <t>18-24</t>
  </si>
  <si>
    <t>2024-01-17</t>
  </si>
  <si>
    <t>Nisha Kumar</t>
  </si>
  <si>
    <t>2024-03-30</t>
  </si>
  <si>
    <t>2024-04-08</t>
  </si>
  <si>
    <t>Neurology</t>
  </si>
  <si>
    <t>Dr. Singh</t>
  </si>
  <si>
    <t>Cash</t>
  </si>
  <si>
    <t>Rohit Yadav</t>
  </si>
  <si>
    <t>25-34</t>
  </si>
  <si>
    <t>2024-01-11</t>
  </si>
  <si>
    <t>2024-01-16</t>
  </si>
  <si>
    <t>Kiran Kumar</t>
  </si>
  <si>
    <t>2024-01-21</t>
  </si>
  <si>
    <t>2024-01-23</t>
  </si>
  <si>
    <t>Sneha Jain</t>
  </si>
  <si>
    <t>2024-05-08</t>
  </si>
  <si>
    <t>2024-05-17</t>
  </si>
  <si>
    <t>May</t>
  </si>
  <si>
    <t>Suresh Kumar</t>
  </si>
  <si>
    <t>2024-04-22</t>
  </si>
  <si>
    <t>2024-04-23</t>
  </si>
  <si>
    <t>April</t>
  </si>
  <si>
    <t>Manoj Verma</t>
  </si>
  <si>
    <t>2024-02-05</t>
  </si>
  <si>
    <t>2024-02-11</t>
  </si>
  <si>
    <t>Insurance</t>
  </si>
  <si>
    <t>HDFC Ergo</t>
  </si>
  <si>
    <t>Rina Sharma</t>
  </si>
  <si>
    <t>2024-02-18</t>
  </si>
  <si>
    <t>2024-02-22</t>
  </si>
  <si>
    <t>Star Health</t>
  </si>
  <si>
    <t>Amit Kumar</t>
  </si>
  <si>
    <t>2024-03-06</t>
  </si>
  <si>
    <t>Priya Iyer</t>
  </si>
  <si>
    <t>2024-03-03</t>
  </si>
  <si>
    <t>Orthopedics</t>
  </si>
  <si>
    <t>Dr. Rao</t>
  </si>
  <si>
    <t>Rina Verma</t>
  </si>
  <si>
    <t>2024-02-03</t>
  </si>
  <si>
    <t>2024-02-12</t>
  </si>
  <si>
    <t>Pooja Sharma</t>
  </si>
  <si>
    <t>Ankit Jain</t>
  </si>
  <si>
    <t>2024-05-22</t>
  </si>
  <si>
    <t>2024-05-29</t>
  </si>
  <si>
    <t>Nisha Patel</t>
  </si>
  <si>
    <t>2024-02-08</t>
  </si>
  <si>
    <t>Kavya Yadav</t>
  </si>
  <si>
    <t>2024-01-13</t>
  </si>
  <si>
    <t>2024-01-20</t>
  </si>
  <si>
    <t>Priya Das</t>
  </si>
  <si>
    <t>2024-04-01</t>
  </si>
  <si>
    <t>Rina Malhotra</t>
  </si>
  <si>
    <t>2024-01-28</t>
  </si>
  <si>
    <t>Priya Sharma</t>
  </si>
  <si>
    <t>2024-02-13</t>
  </si>
  <si>
    <t>2024-02-17</t>
  </si>
  <si>
    <t>Kiran Jain</t>
  </si>
  <si>
    <t>2024-03-12</t>
  </si>
  <si>
    <t>Priya Verma</t>
  </si>
  <si>
    <t>Neha Kumar</t>
  </si>
  <si>
    <t>2024-03-19</t>
  </si>
  <si>
    <t>Pooja Verma</t>
  </si>
  <si>
    <t>2024-02-19</t>
  </si>
  <si>
    <t>2024-02-21</t>
  </si>
  <si>
    <t>Pooja Kumar</t>
  </si>
  <si>
    <t>2024-02-06</t>
  </si>
  <si>
    <t>2024-02-14</t>
  </si>
  <si>
    <t>Neha Jain</t>
  </si>
  <si>
    <t>2024-05-27</t>
  </si>
  <si>
    <t>2024-05-30</t>
  </si>
  <si>
    <t>ICICI Lombard</t>
  </si>
  <si>
    <t>Amit Malhotra</t>
  </si>
  <si>
    <t>2024-03-20</t>
  </si>
  <si>
    <t>Swati Reddy</t>
  </si>
  <si>
    <t>2024-01-18</t>
  </si>
  <si>
    <t>Kavya Sharma</t>
  </si>
  <si>
    <t>2024-01-06</t>
  </si>
  <si>
    <t>2024-01-12</t>
  </si>
  <si>
    <t>Rohit Jain</t>
  </si>
  <si>
    <t>2024-04-04</t>
  </si>
  <si>
    <t>2024-04-05</t>
  </si>
  <si>
    <t>Arjun Jain</t>
  </si>
  <si>
    <t>2024-01-05</t>
  </si>
  <si>
    <t>Kiran Iyer</t>
  </si>
  <si>
    <t>2024-02-23</t>
  </si>
  <si>
    <t>2024-03-01</t>
  </si>
  <si>
    <t>Rohit Kumar</t>
  </si>
  <si>
    <t>2024-04-06</t>
  </si>
  <si>
    <t>2024-04-12</t>
  </si>
  <si>
    <t>Sneha Iyer</t>
  </si>
  <si>
    <t>2024-03-28</t>
  </si>
  <si>
    <t>Pooja Malhotra</t>
  </si>
  <si>
    <t>2024-05-21</t>
  </si>
  <si>
    <t>Suresh Reddy</t>
  </si>
  <si>
    <t>2024-01-08</t>
  </si>
  <si>
    <t>Priya Jain</t>
  </si>
  <si>
    <t>2024-03-05</t>
  </si>
  <si>
    <t>2024-03-11</t>
  </si>
  <si>
    <t>Kavya Reddy</t>
  </si>
  <si>
    <t>2024-01-04</t>
  </si>
  <si>
    <t>Swati Jain</t>
  </si>
  <si>
    <t>2024-04-11</t>
  </si>
  <si>
    <t>2024-04-18</t>
  </si>
  <si>
    <t>Pooja Das</t>
  </si>
  <si>
    <t>2024-04-20</t>
  </si>
  <si>
    <t>2024-01-15</t>
  </si>
  <si>
    <t>Ankit Iyer</t>
  </si>
  <si>
    <t>2024-03-16</t>
  </si>
  <si>
    <t>Neha Yadav</t>
  </si>
  <si>
    <t>2024-01-29</t>
  </si>
  <si>
    <t>Vikas Malhotra</t>
  </si>
  <si>
    <t>2024-03-18</t>
  </si>
  <si>
    <t>2024-03-26</t>
  </si>
  <si>
    <t>Neha Patel</t>
  </si>
  <si>
    <t>Anjali Jain</t>
  </si>
  <si>
    <t>2024-02-24</t>
  </si>
  <si>
    <t>Ankit Sharma</t>
  </si>
  <si>
    <t>2024-05-03</t>
  </si>
  <si>
    <t>2024-05-13</t>
  </si>
  <si>
    <t>Meera Patel</t>
  </si>
  <si>
    <t>Kavya Patel</t>
  </si>
  <si>
    <t>2024-05-28</t>
  </si>
  <si>
    <t>2024-06-03</t>
  </si>
  <si>
    <t>2024-03-21</t>
  </si>
  <si>
    <t>2024-03-23</t>
  </si>
  <si>
    <t>Meera Kumar</t>
  </si>
  <si>
    <t>2024-02-25</t>
  </si>
  <si>
    <t>Manoj Malhotra</t>
  </si>
  <si>
    <t>Sneha Reddy</t>
  </si>
  <si>
    <t>Amit Sharma</t>
  </si>
  <si>
    <t>Amit Das</t>
  </si>
  <si>
    <t>2024-04-16</t>
  </si>
  <si>
    <t>Neha Sharma</t>
  </si>
  <si>
    <t>2024-04-07</t>
  </si>
  <si>
    <t>Deepak Malhotra</t>
  </si>
  <si>
    <t>2024-04-24</t>
  </si>
  <si>
    <t>2024-05-02</t>
  </si>
  <si>
    <t>Arjun Das</t>
  </si>
  <si>
    <t>2024-02-09</t>
  </si>
  <si>
    <t>Rahul Sharma</t>
  </si>
  <si>
    <t>Suresh Verma</t>
  </si>
  <si>
    <t>Deepak Iyer</t>
  </si>
  <si>
    <t>2024-01-31</t>
  </si>
  <si>
    <t>2024-04-02</t>
  </si>
  <si>
    <t>Meera Yadav</t>
  </si>
  <si>
    <t>Kiran Verma</t>
  </si>
  <si>
    <t>2024-03-04</t>
  </si>
  <si>
    <t>Amit Yadav</t>
  </si>
  <si>
    <t>2024-02-28</t>
  </si>
  <si>
    <t>Ankit Das</t>
  </si>
  <si>
    <t xml:space="preserve">Department </t>
  </si>
  <si>
    <t>Department_Cleaned</t>
  </si>
  <si>
    <t>Row Labels</t>
  </si>
  <si>
    <t>Grand Total</t>
  </si>
  <si>
    <t>Total Patients</t>
  </si>
  <si>
    <t>Total Revenue</t>
  </si>
  <si>
    <t>Patient Distribution by Department.</t>
  </si>
  <si>
    <t>Monthly Admission Trend</t>
  </si>
  <si>
    <t>Revenue by Department</t>
  </si>
  <si>
    <t>Average of Length of Stay of Patient.</t>
  </si>
  <si>
    <t>Payment Mode Distribution.</t>
  </si>
  <si>
    <t>Total Patient</t>
  </si>
  <si>
    <t>Sum</t>
  </si>
  <si>
    <t>Average</t>
  </si>
  <si>
    <t>Running Total</t>
  </si>
  <si>
    <t>Count</t>
  </si>
  <si>
    <t>Avg. Length of Stay</t>
  </si>
  <si>
    <t>Avg. Bill Amount</t>
  </si>
  <si>
    <t>Average of Length_of_Stay_Days</t>
  </si>
  <si>
    <t>Count of Patient</t>
  </si>
  <si>
    <t>Sum of Patient</t>
  </si>
  <si>
    <r>
      <rPr>
        <sz val="22"/>
        <color theme="1"/>
        <rFont val="Constantia"/>
        <family val="1"/>
      </rPr>
      <t xml:space="preserve">                                                                Hospital Management Report        </t>
    </r>
    <r>
      <rPr>
        <u/>
        <sz val="22"/>
        <color theme="1"/>
        <rFont val="Constantia"/>
        <family val="1"/>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</si>
</sst>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i/>
      <sz val="14"/>
      <color theme="1"/>
      <name val="Calibri"/>
      <family val="2"/>
      <scheme val="minor"/>
    </font>
    <font>
      <b/>
      <i/>
      <sz val="16"/>
      <color theme="1"/>
      <name val="Calibri"/>
      <family val="2"/>
      <scheme val="minor"/>
    </font>
    <font>
      <b/>
      <sz val="12"/>
      <color theme="1"/>
      <name val="Calibri"/>
      <family val="2"/>
      <scheme val="minor"/>
    </font>
    <font>
      <sz val="22"/>
      <color theme="1"/>
      <name val="Constantia"/>
      <family val="1"/>
    </font>
    <font>
      <u/>
      <sz val="22"/>
      <color theme="1"/>
      <name val="Constantia"/>
      <family val="1"/>
    </font>
  </fonts>
  <fills count="3">
    <fill>
      <patternFill patternType="none"/>
    </fill>
    <fill>
      <patternFill patternType="gray125"/>
    </fill>
    <fill>
      <patternFill patternType="solid">
        <fgColor theme="3"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NumberFormat="1"/>
    <xf numFmtId="0" fontId="1" fillId="0" borderId="0" xfId="0" applyFont="1"/>
    <xf numFmtId="0" fontId="1" fillId="0" borderId="0" xfId="0" applyFont="1" applyAlignment="1">
      <alignment horizontal="left"/>
    </xf>
    <xf numFmtId="0" fontId="2" fillId="0" borderId="0" xfId="0" applyFont="1"/>
    <xf numFmtId="0" fontId="3" fillId="2" borderId="1" xfId="0" applyFont="1" applyFill="1" applyBorder="1" applyAlignment="1">
      <alignment horizontal="center"/>
    </xf>
    <xf numFmtId="0" fontId="3" fillId="0" borderId="0" xfId="0" applyFont="1"/>
    <xf numFmtId="0" fontId="3" fillId="2" borderId="2" xfId="0" applyFont="1" applyFill="1" applyBorder="1" applyAlignment="1">
      <alignment horizontal="center"/>
    </xf>
    <xf numFmtId="0" fontId="3" fillId="2" borderId="3" xfId="0" applyFont="1" applyFill="1" applyBorder="1" applyAlignment="1">
      <alignment horizontal="center"/>
    </xf>
    <xf numFmtId="0" fontId="3" fillId="0" borderId="1" xfId="0" applyFont="1" applyBorder="1" applyAlignment="1">
      <alignment horizontal="center"/>
    </xf>
    <xf numFmtId="0" fontId="5" fillId="2" borderId="0" xfId="0" applyFont="1" applyFill="1" applyAlignment="1"/>
  </cellXfs>
  <cellStyles count="1">
    <cellStyle name="Normal" xfId="0" builtinId="0"/>
  </cellStyles>
  <dxfs count="9">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3.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Report.xlsx]Pivot Table!PivotTable1</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Table'!$B$3</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cat>
            <c:strRef>
              <c:f>'Pivot Table'!$A$4:$A$9</c:f>
              <c:strCache>
                <c:ptCount val="5"/>
                <c:pt idx="0">
                  <c:v>Cardiology</c:v>
                </c:pt>
                <c:pt idx="1">
                  <c:v>General Medicine</c:v>
                </c:pt>
                <c:pt idx="2">
                  <c:v>Gynecology</c:v>
                </c:pt>
                <c:pt idx="3">
                  <c:v>Neurology</c:v>
                </c:pt>
                <c:pt idx="4">
                  <c:v>Orthopedics</c:v>
                </c:pt>
              </c:strCache>
            </c:strRef>
          </c:cat>
          <c:val>
            <c:numRef>
              <c:f>'Pivot Table'!$B$4:$B$9</c:f>
              <c:numCache>
                <c:formatCode>General</c:formatCode>
                <c:ptCount val="5"/>
                <c:pt idx="0">
                  <c:v>5123</c:v>
                </c:pt>
                <c:pt idx="1">
                  <c:v>2076</c:v>
                </c:pt>
                <c:pt idx="2">
                  <c:v>5176</c:v>
                </c:pt>
                <c:pt idx="3">
                  <c:v>3110</c:v>
                </c:pt>
                <c:pt idx="4">
                  <c:v>3118</c:v>
                </c:pt>
              </c:numCache>
            </c:numRef>
          </c:val>
          <c:extLst>
            <c:ext xmlns:c16="http://schemas.microsoft.com/office/drawing/2014/chart" uri="{C3380CC4-5D6E-409C-BE32-E72D297353CC}">
              <c16:uniqueId val="{00000000-368F-4902-BE44-E9E7F962AE5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Report.xlsx]Pivot Table!PivotTable2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Table'!$A$14:$A$19</c:f>
              <c:strCache>
                <c:ptCount val="5"/>
                <c:pt idx="0">
                  <c:v>January</c:v>
                </c:pt>
                <c:pt idx="1">
                  <c:v>February</c:v>
                </c:pt>
                <c:pt idx="2">
                  <c:v>March</c:v>
                </c:pt>
                <c:pt idx="3">
                  <c:v>April</c:v>
                </c:pt>
                <c:pt idx="4">
                  <c:v>May</c:v>
                </c:pt>
              </c:strCache>
            </c:strRef>
          </c:cat>
          <c:val>
            <c:numRef>
              <c:f>'Pivot Table'!$B$14:$B$19</c:f>
              <c:numCache>
                <c:formatCode>General</c:formatCode>
                <c:ptCount val="5"/>
                <c:pt idx="0">
                  <c:v>18598</c:v>
                </c:pt>
                <c:pt idx="1">
                  <c:v>16500</c:v>
                </c:pt>
                <c:pt idx="2">
                  <c:v>18661</c:v>
                </c:pt>
                <c:pt idx="3">
                  <c:v>10448</c:v>
                </c:pt>
                <c:pt idx="4">
                  <c:v>8278</c:v>
                </c:pt>
              </c:numCache>
            </c:numRef>
          </c:val>
          <c:smooth val="0"/>
          <c:extLst>
            <c:ext xmlns:c16="http://schemas.microsoft.com/office/drawing/2014/chart" uri="{C3380CC4-5D6E-409C-BE32-E72D297353CC}">
              <c16:uniqueId val="{00000000-02BD-4D78-B0BB-8E03295827FF}"/>
            </c:ext>
          </c:extLst>
        </c:ser>
        <c:dLbls>
          <c:showLegendKey val="0"/>
          <c:showVal val="0"/>
          <c:showCatName val="0"/>
          <c:showSerName val="0"/>
          <c:showPercent val="0"/>
          <c:showBubbleSize val="0"/>
        </c:dLbls>
        <c:marker val="1"/>
        <c:smooth val="0"/>
        <c:axId val="1397291695"/>
        <c:axId val="1397284623"/>
      </c:lineChart>
      <c:catAx>
        <c:axId val="139729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284623"/>
        <c:crosses val="autoZero"/>
        <c:auto val="1"/>
        <c:lblAlgn val="ctr"/>
        <c:lblOffset val="100"/>
        <c:noMultiLvlLbl val="0"/>
      </c:catAx>
      <c:valAx>
        <c:axId val="1397284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291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Report.xlsx]Pivot Table!PivotTable3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Table'!$B$24</c:f>
              <c:strCache>
                <c:ptCount val="1"/>
                <c:pt idx="0">
                  <c:v>Total</c:v>
                </c:pt>
              </c:strCache>
            </c:strRef>
          </c:tx>
          <c:spPr>
            <a:solidFill>
              <a:schemeClr val="accent1"/>
            </a:solidFill>
            <a:ln>
              <a:noFill/>
            </a:ln>
            <a:effectLst/>
          </c:spPr>
          <c:invertIfNegative val="0"/>
          <c:cat>
            <c:strRef>
              <c:f>'Pivot Table'!$A$25:$A$30</c:f>
              <c:strCache>
                <c:ptCount val="5"/>
                <c:pt idx="0">
                  <c:v>Cardiology</c:v>
                </c:pt>
                <c:pt idx="1">
                  <c:v>General Medicine</c:v>
                </c:pt>
                <c:pt idx="2">
                  <c:v>Gynecology</c:v>
                </c:pt>
                <c:pt idx="3">
                  <c:v>Neurology</c:v>
                </c:pt>
                <c:pt idx="4">
                  <c:v>Orthopedics</c:v>
                </c:pt>
              </c:strCache>
            </c:strRef>
          </c:cat>
          <c:val>
            <c:numRef>
              <c:f>'Pivot Table'!$B$25:$B$30</c:f>
              <c:numCache>
                <c:formatCode>General</c:formatCode>
                <c:ptCount val="5"/>
                <c:pt idx="0">
                  <c:v>293565</c:v>
                </c:pt>
                <c:pt idx="1">
                  <c:v>334208</c:v>
                </c:pt>
                <c:pt idx="2">
                  <c:v>467951</c:v>
                </c:pt>
                <c:pt idx="3">
                  <c:v>294772</c:v>
                </c:pt>
                <c:pt idx="4">
                  <c:v>492630</c:v>
                </c:pt>
              </c:numCache>
            </c:numRef>
          </c:val>
          <c:extLst>
            <c:ext xmlns:c16="http://schemas.microsoft.com/office/drawing/2014/chart" uri="{C3380CC4-5D6E-409C-BE32-E72D297353CC}">
              <c16:uniqueId val="{00000000-1739-4FAE-A778-F010E0DEF4C9}"/>
            </c:ext>
          </c:extLst>
        </c:ser>
        <c:dLbls>
          <c:showLegendKey val="0"/>
          <c:showVal val="0"/>
          <c:showCatName val="0"/>
          <c:showSerName val="0"/>
          <c:showPercent val="0"/>
          <c:showBubbleSize val="0"/>
        </c:dLbls>
        <c:gapWidth val="219"/>
        <c:overlap val="-27"/>
        <c:axId val="1397288783"/>
        <c:axId val="1397282959"/>
      </c:barChart>
      <c:catAx>
        <c:axId val="1397288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282959"/>
        <c:crosses val="autoZero"/>
        <c:auto val="1"/>
        <c:lblAlgn val="ctr"/>
        <c:lblOffset val="100"/>
        <c:noMultiLvlLbl val="0"/>
      </c:catAx>
      <c:valAx>
        <c:axId val="1397282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288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Report.xlsx]Pivot Table!PivotTable6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Table'!$B$34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6D-41A5-A9D5-50194A5425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6D-41A5-A9D5-50194A5425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06D-41A5-A9D5-50194A5425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06D-41A5-A9D5-50194A54257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06D-41A5-A9D5-50194A542575}"/>
              </c:ext>
            </c:extLst>
          </c:dPt>
          <c:cat>
            <c:strRef>
              <c:f>'Pivot Table'!$A$35:$A$40</c:f>
              <c:strCache>
                <c:ptCount val="5"/>
                <c:pt idx="0">
                  <c:v>Cardiology</c:v>
                </c:pt>
                <c:pt idx="1">
                  <c:v>General Medicine</c:v>
                </c:pt>
                <c:pt idx="2">
                  <c:v>Gynecology</c:v>
                </c:pt>
                <c:pt idx="3">
                  <c:v>Neurology</c:v>
                </c:pt>
                <c:pt idx="4">
                  <c:v>Orthopedics</c:v>
                </c:pt>
              </c:strCache>
            </c:strRef>
          </c:cat>
          <c:val>
            <c:numRef>
              <c:f>'Pivot Table'!$B$35:$B$40</c:f>
              <c:numCache>
                <c:formatCode>General</c:formatCode>
                <c:ptCount val="5"/>
                <c:pt idx="0">
                  <c:v>54</c:v>
                </c:pt>
                <c:pt idx="1">
                  <c:v>60</c:v>
                </c:pt>
                <c:pt idx="2">
                  <c:v>83</c:v>
                </c:pt>
                <c:pt idx="3">
                  <c:v>52</c:v>
                </c:pt>
                <c:pt idx="4">
                  <c:v>91</c:v>
                </c:pt>
              </c:numCache>
            </c:numRef>
          </c:val>
          <c:extLst>
            <c:ext xmlns:c16="http://schemas.microsoft.com/office/drawing/2014/chart" uri="{C3380CC4-5D6E-409C-BE32-E72D297353CC}">
              <c16:uniqueId val="{0000000A-B06D-41A5-A9D5-50194A54257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Report.xlsx]Pivot Table!PivotTable7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Table'!$B$44</c:f>
              <c:strCache>
                <c:ptCount val="1"/>
                <c:pt idx="0">
                  <c:v>Total</c:v>
                </c:pt>
              </c:strCache>
            </c:strRef>
          </c:tx>
          <c:spPr>
            <a:solidFill>
              <a:schemeClr val="accent1"/>
            </a:solidFill>
            <a:ln>
              <a:noFill/>
            </a:ln>
            <a:effectLst/>
            <a:sp3d/>
          </c:spPr>
          <c:invertIfNegative val="0"/>
          <c:cat>
            <c:strRef>
              <c:f>'Pivot Table'!$A$45:$A$49</c:f>
              <c:strCache>
                <c:ptCount val="4"/>
                <c:pt idx="0">
                  <c:v>Card</c:v>
                </c:pt>
                <c:pt idx="1">
                  <c:v>Cash</c:v>
                </c:pt>
                <c:pt idx="2">
                  <c:v>Insurance</c:v>
                </c:pt>
                <c:pt idx="3">
                  <c:v>UPI</c:v>
                </c:pt>
              </c:strCache>
            </c:strRef>
          </c:cat>
          <c:val>
            <c:numRef>
              <c:f>'Pivot Table'!$B$45:$B$49</c:f>
              <c:numCache>
                <c:formatCode>General</c:formatCode>
                <c:ptCount val="4"/>
                <c:pt idx="0">
                  <c:v>20768</c:v>
                </c:pt>
                <c:pt idx="1">
                  <c:v>18603</c:v>
                </c:pt>
                <c:pt idx="2">
                  <c:v>17707</c:v>
                </c:pt>
                <c:pt idx="3">
                  <c:v>15407</c:v>
                </c:pt>
              </c:numCache>
            </c:numRef>
          </c:val>
          <c:extLst>
            <c:ext xmlns:c16="http://schemas.microsoft.com/office/drawing/2014/chart" uri="{C3380CC4-5D6E-409C-BE32-E72D297353CC}">
              <c16:uniqueId val="{00000000-7F39-4E5C-8662-CB4C828F9C4F}"/>
            </c:ext>
          </c:extLst>
        </c:ser>
        <c:dLbls>
          <c:showLegendKey val="0"/>
          <c:showVal val="0"/>
          <c:showCatName val="0"/>
          <c:showSerName val="0"/>
          <c:showPercent val="0"/>
          <c:showBubbleSize val="0"/>
        </c:dLbls>
        <c:gapWidth val="150"/>
        <c:shape val="box"/>
        <c:axId val="2018958879"/>
        <c:axId val="2018955551"/>
        <c:axId val="0"/>
      </c:bar3DChart>
      <c:catAx>
        <c:axId val="20189588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955551"/>
        <c:crosses val="autoZero"/>
        <c:auto val="1"/>
        <c:lblAlgn val="ctr"/>
        <c:lblOffset val="100"/>
        <c:noMultiLvlLbl val="0"/>
      </c:catAx>
      <c:valAx>
        <c:axId val="2018955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95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Report.xlsx]Pivot Table!PivotTable1</c:name>
    <c:fmtId val="1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2"/>
          </a:solidFill>
          <a:ln>
            <a:noFill/>
          </a:ln>
          <a:effectLst>
            <a:outerShdw blurRad="317500" algn="ctr" rotWithShape="0">
              <a:prstClr val="black">
                <a:alpha val="25000"/>
              </a:prstClr>
            </a:outerShdw>
          </a:effectLst>
        </c:spPr>
      </c:pivotFmt>
      <c:pivotFmt>
        <c:idx val="12"/>
        <c:spPr>
          <a:solidFill>
            <a:schemeClr val="accent3"/>
          </a:solidFill>
          <a:ln>
            <a:noFill/>
          </a:ln>
          <a:effectLst>
            <a:outerShdw blurRad="317500" algn="ctr" rotWithShape="0">
              <a:prstClr val="black">
                <a:alpha val="25000"/>
              </a:prstClr>
            </a:outerShdw>
          </a:effectLst>
        </c:spPr>
      </c:pivotFmt>
      <c:pivotFmt>
        <c:idx val="13"/>
        <c:spPr>
          <a:solidFill>
            <a:schemeClr val="accent4"/>
          </a:solidFill>
          <a:ln>
            <a:noFill/>
          </a:ln>
          <a:effectLst>
            <a:outerShdw blurRad="317500" algn="ctr" rotWithShape="0">
              <a:prstClr val="black">
                <a:alpha val="25000"/>
              </a:prstClr>
            </a:outerShdw>
          </a:effectLst>
        </c:spPr>
      </c:pivotFmt>
      <c:pivotFmt>
        <c:idx val="14"/>
        <c:spPr>
          <a:solidFill>
            <a:schemeClr val="accent5"/>
          </a:solidFill>
          <a:ln>
            <a:noFill/>
          </a:ln>
          <a:effectLst>
            <a:outerShdw blurRad="317500" algn="ctr" rotWithShape="0">
              <a:prstClr val="black">
                <a:alpha val="25000"/>
              </a:prstClr>
            </a:outerShdw>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8A9-42C6-B631-E536157EE3F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8A9-42C6-B631-E536157EE3F2}"/>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8A9-42C6-B631-E536157EE3F2}"/>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D8A9-42C6-B631-E536157EE3F2}"/>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D8A9-42C6-B631-E536157EE3F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Table'!$A$4:$A$9</c:f>
              <c:strCache>
                <c:ptCount val="5"/>
                <c:pt idx="0">
                  <c:v>Cardiology</c:v>
                </c:pt>
                <c:pt idx="1">
                  <c:v>General Medicine</c:v>
                </c:pt>
                <c:pt idx="2">
                  <c:v>Gynecology</c:v>
                </c:pt>
                <c:pt idx="3">
                  <c:v>Neurology</c:v>
                </c:pt>
                <c:pt idx="4">
                  <c:v>Orthopedics</c:v>
                </c:pt>
              </c:strCache>
            </c:strRef>
          </c:cat>
          <c:val>
            <c:numRef>
              <c:f>'Pivot Table'!$B$4:$B$9</c:f>
              <c:numCache>
                <c:formatCode>General</c:formatCode>
                <c:ptCount val="5"/>
                <c:pt idx="0">
                  <c:v>5123</c:v>
                </c:pt>
                <c:pt idx="1">
                  <c:v>2076</c:v>
                </c:pt>
                <c:pt idx="2">
                  <c:v>5176</c:v>
                </c:pt>
                <c:pt idx="3">
                  <c:v>3110</c:v>
                </c:pt>
                <c:pt idx="4">
                  <c:v>3118</c:v>
                </c:pt>
              </c:numCache>
            </c:numRef>
          </c:val>
          <c:extLst>
            <c:ext xmlns:c16="http://schemas.microsoft.com/office/drawing/2014/chart" uri="{C3380CC4-5D6E-409C-BE32-E72D297353CC}">
              <c16:uniqueId val="{0000000A-D8A9-42C6-B631-E536157EE3F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Report.xlsx]Pivot Table!PivotTable3</c:name>
    <c:fmtId val="4"/>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Table'!$B$24</c:f>
              <c:strCache>
                <c:ptCount val="1"/>
                <c:pt idx="0">
                  <c:v>Total</c:v>
                </c:pt>
              </c:strCache>
            </c:strRef>
          </c:tx>
          <c:spPr>
            <a:pattFill prst="ltUpDiag">
              <a:fgClr>
                <a:schemeClr val="accent1"/>
              </a:fgClr>
              <a:bgClr>
                <a:schemeClr val="lt1"/>
              </a:bgClr>
            </a:pattFill>
            <a:ln>
              <a:noFill/>
            </a:ln>
            <a:effectLst/>
          </c:spPr>
          <c:invertIfNegative val="0"/>
          <c:cat>
            <c:strRef>
              <c:f>'Pivot Table'!$A$25:$A$30</c:f>
              <c:strCache>
                <c:ptCount val="5"/>
                <c:pt idx="0">
                  <c:v>Cardiology</c:v>
                </c:pt>
                <c:pt idx="1">
                  <c:v>General Medicine</c:v>
                </c:pt>
                <c:pt idx="2">
                  <c:v>Gynecology</c:v>
                </c:pt>
                <c:pt idx="3">
                  <c:v>Neurology</c:v>
                </c:pt>
                <c:pt idx="4">
                  <c:v>Orthopedics</c:v>
                </c:pt>
              </c:strCache>
            </c:strRef>
          </c:cat>
          <c:val>
            <c:numRef>
              <c:f>'Pivot Table'!$B$25:$B$30</c:f>
              <c:numCache>
                <c:formatCode>General</c:formatCode>
                <c:ptCount val="5"/>
                <c:pt idx="0">
                  <c:v>293565</c:v>
                </c:pt>
                <c:pt idx="1">
                  <c:v>334208</c:v>
                </c:pt>
                <c:pt idx="2">
                  <c:v>467951</c:v>
                </c:pt>
                <c:pt idx="3">
                  <c:v>294772</c:v>
                </c:pt>
                <c:pt idx="4">
                  <c:v>492630</c:v>
                </c:pt>
              </c:numCache>
            </c:numRef>
          </c:val>
          <c:extLst>
            <c:ext xmlns:c16="http://schemas.microsoft.com/office/drawing/2014/chart" uri="{C3380CC4-5D6E-409C-BE32-E72D297353CC}">
              <c16:uniqueId val="{00000000-AB12-4EBA-BBCD-DD2D472538ED}"/>
            </c:ext>
          </c:extLst>
        </c:ser>
        <c:dLbls>
          <c:showLegendKey val="0"/>
          <c:showVal val="0"/>
          <c:showCatName val="0"/>
          <c:showSerName val="0"/>
          <c:showPercent val="0"/>
          <c:showBubbleSize val="0"/>
        </c:dLbls>
        <c:gapWidth val="269"/>
        <c:overlap val="-20"/>
        <c:axId val="1397288783"/>
        <c:axId val="1397282959"/>
      </c:barChart>
      <c:catAx>
        <c:axId val="1397288783"/>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397282959"/>
        <c:crosses val="autoZero"/>
        <c:auto val="1"/>
        <c:lblAlgn val="ctr"/>
        <c:lblOffset val="100"/>
        <c:noMultiLvlLbl val="0"/>
      </c:catAx>
      <c:valAx>
        <c:axId val="13972829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97288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Report.xlsx]Pivot Table!PivotTable6</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2"/>
          </a:solidFill>
          <a:ln>
            <a:noFill/>
          </a:ln>
          <a:effectLst>
            <a:outerShdw blurRad="254000" sx="102000" sy="102000" algn="ctr" rotWithShape="0">
              <a:prstClr val="black">
                <a:alpha val="20000"/>
              </a:prstClr>
            </a:outerShdw>
          </a:effectLst>
        </c:spPr>
      </c:pivotFmt>
      <c:pivotFmt>
        <c:idx val="22"/>
        <c:spPr>
          <a:solidFill>
            <a:schemeClr val="accent3"/>
          </a:solidFill>
          <a:ln>
            <a:noFill/>
          </a:ln>
          <a:effectLst>
            <a:outerShdw blurRad="254000" sx="102000" sy="102000" algn="ctr" rotWithShape="0">
              <a:prstClr val="black">
                <a:alpha val="20000"/>
              </a:prstClr>
            </a:outerShdw>
          </a:effectLst>
        </c:spPr>
      </c:pivotFmt>
      <c:pivotFmt>
        <c:idx val="23"/>
        <c:spPr>
          <a:solidFill>
            <a:schemeClr val="accent4"/>
          </a:solidFill>
          <a:ln>
            <a:noFill/>
          </a:ln>
          <a:effectLst>
            <a:outerShdw blurRad="254000" sx="102000" sy="102000" algn="ctr" rotWithShape="0">
              <a:prstClr val="black">
                <a:alpha val="20000"/>
              </a:prstClr>
            </a:outerShdw>
          </a:effectLst>
        </c:spPr>
      </c:pivotFmt>
      <c:pivotFmt>
        <c:idx val="24"/>
        <c:spPr>
          <a:solidFill>
            <a:schemeClr val="accent5"/>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Table'!$B$34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095-4170-BD5B-B3D814729D9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095-4170-BD5B-B3D814729D9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095-4170-BD5B-B3D814729D9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095-4170-BD5B-B3D814729D9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095-4170-BD5B-B3D814729D9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Table'!$A$35:$A$40</c:f>
              <c:strCache>
                <c:ptCount val="5"/>
                <c:pt idx="0">
                  <c:v>Cardiology</c:v>
                </c:pt>
                <c:pt idx="1">
                  <c:v>General Medicine</c:v>
                </c:pt>
                <c:pt idx="2">
                  <c:v>Gynecology</c:v>
                </c:pt>
                <c:pt idx="3">
                  <c:v>Neurology</c:v>
                </c:pt>
                <c:pt idx="4">
                  <c:v>Orthopedics</c:v>
                </c:pt>
              </c:strCache>
            </c:strRef>
          </c:cat>
          <c:val>
            <c:numRef>
              <c:f>'Pivot Table'!$B$35:$B$40</c:f>
              <c:numCache>
                <c:formatCode>General</c:formatCode>
                <c:ptCount val="5"/>
                <c:pt idx="0">
                  <c:v>54</c:v>
                </c:pt>
                <c:pt idx="1">
                  <c:v>60</c:v>
                </c:pt>
                <c:pt idx="2">
                  <c:v>83</c:v>
                </c:pt>
                <c:pt idx="3">
                  <c:v>52</c:v>
                </c:pt>
                <c:pt idx="4">
                  <c:v>91</c:v>
                </c:pt>
              </c:numCache>
            </c:numRef>
          </c:val>
          <c:extLst>
            <c:ext xmlns:c16="http://schemas.microsoft.com/office/drawing/2014/chart" uri="{C3380CC4-5D6E-409C-BE32-E72D297353CC}">
              <c16:uniqueId val="{0000000A-A095-4170-BD5B-B3D814729D9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Report.xlsx]Pivot Table!PivotTable7</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Table'!$B$44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Table'!$A$45:$A$49</c:f>
              <c:strCache>
                <c:ptCount val="4"/>
                <c:pt idx="0">
                  <c:v>Card</c:v>
                </c:pt>
                <c:pt idx="1">
                  <c:v>Cash</c:v>
                </c:pt>
                <c:pt idx="2">
                  <c:v>Insurance</c:v>
                </c:pt>
                <c:pt idx="3">
                  <c:v>UPI</c:v>
                </c:pt>
              </c:strCache>
            </c:strRef>
          </c:cat>
          <c:val>
            <c:numRef>
              <c:f>'Pivot Table'!$B$45:$B$49</c:f>
              <c:numCache>
                <c:formatCode>General</c:formatCode>
                <c:ptCount val="4"/>
                <c:pt idx="0">
                  <c:v>20768</c:v>
                </c:pt>
                <c:pt idx="1">
                  <c:v>18603</c:v>
                </c:pt>
                <c:pt idx="2">
                  <c:v>17707</c:v>
                </c:pt>
                <c:pt idx="3">
                  <c:v>15407</c:v>
                </c:pt>
              </c:numCache>
            </c:numRef>
          </c:val>
          <c:extLst>
            <c:ext xmlns:c16="http://schemas.microsoft.com/office/drawing/2014/chart" uri="{C3380CC4-5D6E-409C-BE32-E72D297353CC}">
              <c16:uniqueId val="{00000000-551B-41A2-BA25-CE85E1551268}"/>
            </c:ext>
          </c:extLst>
        </c:ser>
        <c:dLbls>
          <c:showLegendKey val="0"/>
          <c:showVal val="0"/>
          <c:showCatName val="0"/>
          <c:showSerName val="0"/>
          <c:showPercent val="0"/>
          <c:showBubbleSize val="0"/>
        </c:dLbls>
        <c:gapWidth val="150"/>
        <c:shape val="box"/>
        <c:axId val="2018958879"/>
        <c:axId val="2018955551"/>
        <c:axId val="0"/>
      </c:bar3DChart>
      <c:catAx>
        <c:axId val="20189588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18955551"/>
        <c:crosses val="autoZero"/>
        <c:auto val="1"/>
        <c:lblAlgn val="ctr"/>
        <c:lblOffset val="100"/>
        <c:noMultiLvlLbl val="0"/>
      </c:catAx>
      <c:valAx>
        <c:axId val="201895555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1895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Report.xlsx]Pivot Table!PivotTable2</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Table'!$A$14:$A$19</c:f>
              <c:strCache>
                <c:ptCount val="5"/>
                <c:pt idx="0">
                  <c:v>January</c:v>
                </c:pt>
                <c:pt idx="1">
                  <c:v>February</c:v>
                </c:pt>
                <c:pt idx="2">
                  <c:v>March</c:v>
                </c:pt>
                <c:pt idx="3">
                  <c:v>April</c:v>
                </c:pt>
                <c:pt idx="4">
                  <c:v>May</c:v>
                </c:pt>
              </c:strCache>
            </c:strRef>
          </c:cat>
          <c:val>
            <c:numRef>
              <c:f>'Pivot Table'!$B$14:$B$19</c:f>
              <c:numCache>
                <c:formatCode>General</c:formatCode>
                <c:ptCount val="5"/>
                <c:pt idx="0">
                  <c:v>18598</c:v>
                </c:pt>
                <c:pt idx="1">
                  <c:v>16500</c:v>
                </c:pt>
                <c:pt idx="2">
                  <c:v>18661</c:v>
                </c:pt>
                <c:pt idx="3">
                  <c:v>10448</c:v>
                </c:pt>
                <c:pt idx="4">
                  <c:v>8278</c:v>
                </c:pt>
              </c:numCache>
            </c:numRef>
          </c:val>
          <c:smooth val="0"/>
          <c:extLst>
            <c:ext xmlns:c16="http://schemas.microsoft.com/office/drawing/2014/chart" uri="{C3380CC4-5D6E-409C-BE32-E72D297353CC}">
              <c16:uniqueId val="{00000000-866D-44E7-BC20-8BAA9D30A97E}"/>
            </c:ext>
          </c:extLst>
        </c:ser>
        <c:dLbls>
          <c:dLblPos val="ctr"/>
          <c:showLegendKey val="0"/>
          <c:showVal val="1"/>
          <c:showCatName val="0"/>
          <c:showSerName val="0"/>
          <c:showPercent val="0"/>
          <c:showBubbleSize val="0"/>
        </c:dLbls>
        <c:marker val="1"/>
        <c:smooth val="0"/>
        <c:axId val="1397291695"/>
        <c:axId val="1397284623"/>
      </c:lineChart>
      <c:catAx>
        <c:axId val="139729169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97284623"/>
        <c:crosses val="autoZero"/>
        <c:auto val="1"/>
        <c:lblAlgn val="ctr"/>
        <c:lblOffset val="100"/>
        <c:noMultiLvlLbl val="0"/>
      </c:catAx>
      <c:valAx>
        <c:axId val="139728462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9729169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6350</xdr:colOff>
      <xdr:row>2</xdr:row>
      <xdr:rowOff>12700</xdr:rowOff>
    </xdr:from>
    <xdr:to>
      <xdr:col>7</xdr:col>
      <xdr:colOff>476250</xdr:colOff>
      <xdr:row>15</xdr:row>
      <xdr:rowOff>177800</xdr:rowOff>
    </xdr:to>
    <xdr:graphicFrame macro="">
      <xdr:nvGraphicFramePr>
        <xdr:cNvPr id="2" name="Chart 1">
          <a:extLst>
            <a:ext uri="{FF2B5EF4-FFF2-40B4-BE49-F238E27FC236}">
              <a16:creationId xmlns:a16="http://schemas.microsoft.com/office/drawing/2014/main" id="{1D5F6373-A0BB-4FE0-B13C-CEB129EAFA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0</xdr:rowOff>
    </xdr:from>
    <xdr:to>
      <xdr:col>7</xdr:col>
      <xdr:colOff>304800</xdr:colOff>
      <xdr:row>35</xdr:row>
      <xdr:rowOff>104775</xdr:rowOff>
    </xdr:to>
    <xdr:graphicFrame macro="">
      <xdr:nvGraphicFramePr>
        <xdr:cNvPr id="3" name="Chart 2">
          <a:extLst>
            <a:ext uri="{FF2B5EF4-FFF2-40B4-BE49-F238E27FC236}">
              <a16:creationId xmlns:a16="http://schemas.microsoft.com/office/drawing/2014/main" id="{A9C844DA-6103-48A5-9AAE-EB8B3D8466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39</xdr:row>
      <xdr:rowOff>0</xdr:rowOff>
    </xdr:from>
    <xdr:to>
      <xdr:col>7</xdr:col>
      <xdr:colOff>304800</xdr:colOff>
      <xdr:row>53</xdr:row>
      <xdr:rowOff>165100</xdr:rowOff>
    </xdr:to>
    <xdr:graphicFrame macro="">
      <xdr:nvGraphicFramePr>
        <xdr:cNvPr id="4" name="Chart 3">
          <a:extLst>
            <a:ext uri="{FF2B5EF4-FFF2-40B4-BE49-F238E27FC236}">
              <a16:creationId xmlns:a16="http://schemas.microsoft.com/office/drawing/2014/main" id="{77AC5369-43AC-461E-AC7A-9AD734B66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57</xdr:row>
      <xdr:rowOff>0</xdr:rowOff>
    </xdr:from>
    <xdr:to>
      <xdr:col>7</xdr:col>
      <xdr:colOff>304800</xdr:colOff>
      <xdr:row>71</xdr:row>
      <xdr:rowOff>165100</xdr:rowOff>
    </xdr:to>
    <xdr:graphicFrame macro="">
      <xdr:nvGraphicFramePr>
        <xdr:cNvPr id="5" name="Chart 4">
          <a:extLst>
            <a:ext uri="{FF2B5EF4-FFF2-40B4-BE49-F238E27FC236}">
              <a16:creationId xmlns:a16="http://schemas.microsoft.com/office/drawing/2014/main" id="{8A1A443B-BAE9-4E4B-8764-B25FA80FD7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76</xdr:row>
      <xdr:rowOff>0</xdr:rowOff>
    </xdr:from>
    <xdr:to>
      <xdr:col>7</xdr:col>
      <xdr:colOff>304800</xdr:colOff>
      <xdr:row>90</xdr:row>
      <xdr:rowOff>165100</xdr:rowOff>
    </xdr:to>
    <xdr:graphicFrame macro="">
      <xdr:nvGraphicFramePr>
        <xdr:cNvPr id="6" name="Chart 5">
          <a:extLst>
            <a:ext uri="{FF2B5EF4-FFF2-40B4-BE49-F238E27FC236}">
              <a16:creationId xmlns:a16="http://schemas.microsoft.com/office/drawing/2014/main" id="{E278E79E-8EC9-4991-94FB-EF533E179A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527050</xdr:colOff>
      <xdr:row>5</xdr:row>
      <xdr:rowOff>57150</xdr:rowOff>
    </xdr:from>
    <xdr:to>
      <xdr:col>8</xdr:col>
      <xdr:colOff>501650</xdr:colOff>
      <xdr:row>15</xdr:row>
      <xdr:rowOff>165100</xdr:rowOff>
    </xdr:to>
    <xdr:graphicFrame macro="">
      <xdr:nvGraphicFramePr>
        <xdr:cNvPr id="2" name="Chart 1">
          <a:extLst>
            <a:ext uri="{FF2B5EF4-FFF2-40B4-BE49-F238E27FC236}">
              <a16:creationId xmlns:a16="http://schemas.microsoft.com/office/drawing/2014/main" id="{0F13E851-4C2A-4473-8C86-0F9D97CE26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196850</xdr:colOff>
      <xdr:row>5</xdr:row>
      <xdr:rowOff>44450</xdr:rowOff>
    </xdr:from>
    <xdr:to>
      <xdr:col>14</xdr:col>
      <xdr:colOff>603250</xdr:colOff>
      <xdr:row>15</xdr:row>
      <xdr:rowOff>158750</xdr:rowOff>
    </xdr:to>
    <xdr:graphicFrame macro="">
      <xdr:nvGraphicFramePr>
        <xdr:cNvPr id="3" name="Chart 2">
          <a:extLst>
            <a:ext uri="{FF2B5EF4-FFF2-40B4-BE49-F238E27FC236}">
              <a16:creationId xmlns:a16="http://schemas.microsoft.com/office/drawing/2014/main" id="{35DB7264-7933-4CF2-83AF-1D0C6B886E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590550</xdr:colOff>
      <xdr:row>5</xdr:row>
      <xdr:rowOff>44450</xdr:rowOff>
    </xdr:from>
    <xdr:to>
      <xdr:col>21</xdr:col>
      <xdr:colOff>184150</xdr:colOff>
      <xdr:row>16</xdr:row>
      <xdr:rowOff>38100</xdr:rowOff>
    </xdr:to>
    <xdr:graphicFrame macro="">
      <xdr:nvGraphicFramePr>
        <xdr:cNvPr id="4" name="Chart 3">
          <a:extLst>
            <a:ext uri="{FF2B5EF4-FFF2-40B4-BE49-F238E27FC236}">
              <a16:creationId xmlns:a16="http://schemas.microsoft.com/office/drawing/2014/main" id="{15FCB977-E31A-49FF-9B8A-9938D2E60C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527050</xdr:colOff>
      <xdr:row>16</xdr:row>
      <xdr:rowOff>177800</xdr:rowOff>
    </xdr:from>
    <xdr:to>
      <xdr:col>11</xdr:col>
      <xdr:colOff>476250</xdr:colOff>
      <xdr:row>31</xdr:row>
      <xdr:rowOff>158750</xdr:rowOff>
    </xdr:to>
    <xdr:graphicFrame macro="">
      <xdr:nvGraphicFramePr>
        <xdr:cNvPr id="5" name="Chart 4">
          <a:extLst>
            <a:ext uri="{FF2B5EF4-FFF2-40B4-BE49-F238E27FC236}">
              <a16:creationId xmlns:a16="http://schemas.microsoft.com/office/drawing/2014/main" id="{5E851BFF-BD37-4ABD-8EF5-FBA8B70D07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520700</xdr:colOff>
      <xdr:row>17</xdr:row>
      <xdr:rowOff>0</xdr:rowOff>
    </xdr:from>
    <xdr:to>
      <xdr:col>20</xdr:col>
      <xdr:colOff>215900</xdr:colOff>
      <xdr:row>32</xdr:row>
      <xdr:rowOff>12700</xdr:rowOff>
    </xdr:to>
    <xdr:graphicFrame macro="">
      <xdr:nvGraphicFramePr>
        <xdr:cNvPr id="6" name="Chart 5">
          <a:extLst>
            <a:ext uri="{FF2B5EF4-FFF2-40B4-BE49-F238E27FC236}">
              <a16:creationId xmlns:a16="http://schemas.microsoft.com/office/drawing/2014/main" id="{D4D59FF0-6729-473E-B3BB-A4D22FA99A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5</xdr:row>
      <xdr:rowOff>63500</xdr:rowOff>
    </xdr:from>
    <xdr:to>
      <xdr:col>1</xdr:col>
      <xdr:colOff>596900</xdr:colOff>
      <xdr:row>15</xdr:row>
      <xdr:rowOff>120649</xdr:rowOff>
    </xdr:to>
    <mc:AlternateContent xmlns:mc="http://schemas.openxmlformats.org/markup-compatibility/2006">
      <mc:Choice xmlns:a14="http://schemas.microsoft.com/office/drawing/2010/main" Requires="a14">
        <xdr:graphicFrame macro="">
          <xdr:nvGraphicFramePr>
            <xdr:cNvPr id="7" name="Admission_Month 1">
              <a:extLst>
                <a:ext uri="{FF2B5EF4-FFF2-40B4-BE49-F238E27FC236}">
                  <a16:creationId xmlns:a16="http://schemas.microsoft.com/office/drawing/2014/main" id="{7CCCCF0C-F5B6-4CEA-AAB1-A7D426BDCADD}"/>
                </a:ext>
              </a:extLst>
            </xdr:cNvPr>
            <xdr:cNvGraphicFramePr/>
          </xdr:nvGraphicFramePr>
          <xdr:xfrm>
            <a:off x="0" y="0"/>
            <a:ext cx="0" cy="0"/>
          </xdr:xfrm>
          <a:graphic>
            <a:graphicData uri="http://schemas.microsoft.com/office/drawing/2010/slicer">
              <sle:slicer xmlns:sle="http://schemas.microsoft.com/office/drawing/2010/slicer" name="Admission_Month 1"/>
            </a:graphicData>
          </a:graphic>
        </xdr:graphicFrame>
      </mc:Choice>
      <mc:Fallback>
        <xdr:sp macro="" textlink="">
          <xdr:nvSpPr>
            <xdr:cNvPr id="0" name=""/>
            <xdr:cNvSpPr>
              <a:spLocks noTextEdit="1"/>
            </xdr:cNvSpPr>
          </xdr:nvSpPr>
          <xdr:spPr>
            <a:xfrm>
              <a:off x="0" y="1187450"/>
              <a:ext cx="1206500" cy="18986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177801</xdr:rowOff>
    </xdr:from>
    <xdr:to>
      <xdr:col>1</xdr:col>
      <xdr:colOff>539750</xdr:colOff>
      <xdr:row>26</xdr:row>
      <xdr:rowOff>139700</xdr:rowOff>
    </xdr:to>
    <mc:AlternateContent xmlns:mc="http://schemas.openxmlformats.org/markup-compatibility/2006">
      <mc:Choice xmlns:a14="http://schemas.microsoft.com/office/drawing/2010/main" Requires="a14">
        <xdr:graphicFrame macro="">
          <xdr:nvGraphicFramePr>
            <xdr:cNvPr id="8" name="Department_Cleaned 1">
              <a:extLst>
                <a:ext uri="{FF2B5EF4-FFF2-40B4-BE49-F238E27FC236}">
                  <a16:creationId xmlns:a16="http://schemas.microsoft.com/office/drawing/2014/main" id="{F8327E56-FE8C-4BF6-9536-177C3D830FEE}"/>
                </a:ext>
              </a:extLst>
            </xdr:cNvPr>
            <xdr:cNvGraphicFramePr/>
          </xdr:nvGraphicFramePr>
          <xdr:xfrm>
            <a:off x="0" y="0"/>
            <a:ext cx="0" cy="0"/>
          </xdr:xfrm>
          <a:graphic>
            <a:graphicData uri="http://schemas.microsoft.com/office/drawing/2010/slicer">
              <sle:slicer xmlns:sle="http://schemas.microsoft.com/office/drawing/2010/slicer" name="Department_Cleaned 1"/>
            </a:graphicData>
          </a:graphic>
        </xdr:graphicFrame>
      </mc:Choice>
      <mc:Fallback>
        <xdr:sp macro="" textlink="">
          <xdr:nvSpPr>
            <xdr:cNvPr id="0" name=""/>
            <xdr:cNvSpPr>
              <a:spLocks noTextEdit="1"/>
            </xdr:cNvSpPr>
          </xdr:nvSpPr>
          <xdr:spPr>
            <a:xfrm>
              <a:off x="0" y="3327401"/>
              <a:ext cx="1149350" cy="18033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184149</xdr:rowOff>
    </xdr:from>
    <xdr:to>
      <xdr:col>1</xdr:col>
      <xdr:colOff>596900</xdr:colOff>
      <xdr:row>36</xdr:row>
      <xdr:rowOff>95250</xdr:rowOff>
    </xdr:to>
    <mc:AlternateContent xmlns:mc="http://schemas.openxmlformats.org/markup-compatibility/2006">
      <mc:Choice xmlns:a14="http://schemas.microsoft.com/office/drawing/2010/main" Requires="a14">
        <xdr:graphicFrame macro="">
          <xdr:nvGraphicFramePr>
            <xdr:cNvPr id="9" name="Payment_Mode 1">
              <a:extLst>
                <a:ext uri="{FF2B5EF4-FFF2-40B4-BE49-F238E27FC236}">
                  <a16:creationId xmlns:a16="http://schemas.microsoft.com/office/drawing/2014/main" id="{FDDFD956-4381-46FC-9C49-CEB0F75986D1}"/>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dr:sp macro="" textlink="">
          <xdr:nvSpPr>
            <xdr:cNvPr id="0" name=""/>
            <xdr:cNvSpPr>
              <a:spLocks noTextEdit="1"/>
            </xdr:cNvSpPr>
          </xdr:nvSpPr>
          <xdr:spPr>
            <a:xfrm>
              <a:off x="0" y="5359399"/>
              <a:ext cx="1206500" cy="156845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E ACRON" refreshedDate="46060.864383333334" createdVersion="7" refreshedVersion="7" minRefreshableVersion="3" recordCount="70" xr:uid="{9AA35130-CBA3-406F-9527-CFB317F3CB91}">
  <cacheSource type="worksheet">
    <worksheetSource name="Table1"/>
  </cacheSource>
  <cacheFields count="18">
    <cacheField name="Patient_ID" numFmtId="0">
      <sharedItems containsSemiMixedTypes="0" containsString="0" containsNumber="1" containsInteger="1" minValue="1001" maxValue="1070"/>
    </cacheField>
    <cacheField name="Patient_Name" numFmtId="0">
      <sharedItems/>
    </cacheField>
    <cacheField name="Age" numFmtId="0">
      <sharedItems containsSemiMixedTypes="0" containsString="0" containsNumber="1" containsInteger="1" minValue="18" maxValue="73"/>
    </cacheField>
    <cacheField name="Age_Group" numFmtId="0">
      <sharedItems/>
    </cacheField>
    <cacheField name="Gender" numFmtId="0">
      <sharedItems/>
    </cacheField>
    <cacheField name="Admission_Date" numFmtId="0">
      <sharedItems/>
    </cacheField>
    <cacheField name="Discharge_Date" numFmtId="0">
      <sharedItems/>
    </cacheField>
    <cacheField name="Length_of_Stay_Days" numFmtId="0">
      <sharedItems containsSemiMixedTypes="0" containsString="0" containsNumber="1" containsInteger="1" minValue="1" maxValue="10"/>
    </cacheField>
    <cacheField name="Admission_Month" numFmtId="0">
      <sharedItems count="5">
        <s v="March"/>
        <s v="February"/>
        <s v="January"/>
        <s v="May"/>
        <s v="April"/>
      </sharedItems>
    </cacheField>
    <cacheField name="Department_Cleaned" numFmtId="0">
      <sharedItems count="5">
        <s v="Cardiology"/>
        <s v="Gynecology"/>
        <s v="General Medicine"/>
        <s v="Neurology"/>
        <s v="Orthopedics"/>
      </sharedItems>
    </cacheField>
    <cacheField name="Department " numFmtId="0">
      <sharedItems count="5">
        <s v="Cardiology"/>
        <s v="Gynecology"/>
        <s v="General Medicine"/>
        <s v="Neurology"/>
        <s v="Orthopedics"/>
      </sharedItems>
    </cacheField>
    <cacheField name="Doctor_Name" numFmtId="0">
      <sharedItems/>
    </cacheField>
    <cacheField name="Room_Charges" numFmtId="0">
      <sharedItems containsSemiMixedTypes="0" containsString="0" containsNumber="1" containsInteger="1" minValue="6292" maxValue="24931"/>
    </cacheField>
    <cacheField name="Lab_Charges" numFmtId="0">
      <sharedItems containsSemiMixedTypes="0" containsString="0" containsNumber="1" containsInteger="1" minValue="2125" maxValue="7937"/>
    </cacheField>
    <cacheField name="Medicine_Charges" numFmtId="0">
      <sharedItems containsSemiMixedTypes="0" containsString="0" containsNumber="1" containsInteger="1" minValue="3167" maxValue="8983"/>
    </cacheField>
    <cacheField name="Total_Bill" numFmtId="0">
      <sharedItems containsSemiMixedTypes="0" containsString="0" containsNumber="1" containsInteger="1" minValue="16527" maxValue="37090"/>
    </cacheField>
    <cacheField name="Payment_Mode" numFmtId="0">
      <sharedItems count="4">
        <s v="Card"/>
        <s v="UPI"/>
        <s v="Cash"/>
        <s v="Insurance"/>
      </sharedItems>
    </cacheField>
    <cacheField name="Insurance_Provider" numFmtId="0">
      <sharedItems/>
    </cacheField>
  </cacheFields>
  <extLst>
    <ext xmlns:x14="http://schemas.microsoft.com/office/spreadsheetml/2009/9/main" uri="{725AE2AE-9491-48be-B2B4-4EB974FC3084}">
      <x14:pivotCacheDefinition pivotCacheId="29021797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E ACRON" refreshedDate="46062.355568055558" backgroundQuery="1" createdVersion="7" refreshedVersion="7" minRefreshableVersion="3" recordCount="0" supportSubquery="1" supportAdvancedDrill="1" xr:uid="{6047053B-2B20-4AC7-879A-2BB87E65463C}">
  <cacheSource type="external" connectionId="1"/>
  <cacheFields count="2">
    <cacheField name="[Table1].[Department_Cleaned].[Department_Cleaned]" caption="Department_Cleaned" numFmtId="0" hierarchy="9" level="1">
      <sharedItems count="5">
        <s v="Cardiology"/>
        <s v="General Medicine"/>
        <s v="Gynecology"/>
        <s v="Neurology"/>
        <s v="Orthopedics"/>
      </sharedItems>
    </cacheField>
    <cacheField name="[Measures].[Sum of Length_of_Stay_Days]" caption="Sum of Length_of_Stay_Days" numFmtId="0" hierarchy="21" level="32767"/>
  </cacheFields>
  <cacheHierarchies count="23">
    <cacheHierarchy uniqueName="[Table1].[Patient_ID]" caption="Patient_ID" attribute="1" defaultMemberUniqueName="[Table1].[Patient_ID].[All]" allUniqueName="[Table1].[Patient_ID].[All]" dimensionUniqueName="[Table1]" displayFolder="" count="0" memberValueDatatype="20" unbalanced="0"/>
    <cacheHierarchy uniqueName="[Table1].[Patient_Name]" caption="Patient_Name" attribute="1" defaultMemberUniqueName="[Table1].[Patient_Name].[All]" allUniqueName="[Table1].[Patient_Name].[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dmission_Date]" caption="Admission_Date" attribute="1" defaultMemberUniqueName="[Table1].[Admission_Date].[All]" allUniqueName="[Table1].[Admission_Date].[All]" dimensionUniqueName="[Table1]" displayFolder="" count="0" memberValueDatatype="130" unbalanced="0"/>
    <cacheHierarchy uniqueName="[Table1].[Discharge_Date]" caption="Discharge_Date" attribute="1" defaultMemberUniqueName="[Table1].[Discharge_Date].[All]" allUniqueName="[Table1].[Discharge_Date].[All]" dimensionUniqueName="[Table1]" displayFolder="" count="0" memberValueDatatype="130" unbalanced="0"/>
    <cacheHierarchy uniqueName="[Table1].[Length_of_Stay_Days]" caption="Length_of_Stay_Days" attribute="1" defaultMemberUniqueName="[Table1].[Length_of_Stay_Days].[All]" allUniqueName="[Table1].[Length_of_Stay_Days].[All]" dimensionUniqueName="[Table1]" displayFolder="" count="0" memberValueDatatype="20" unbalanced="0"/>
    <cacheHierarchy uniqueName="[Table1].[Admission_Month]" caption="Admission_Month" attribute="1" defaultMemberUniqueName="[Table1].[Admission_Month].[All]" allUniqueName="[Table1].[Admission_Month].[All]" dimensionUniqueName="[Table1]" displayFolder="" count="0" memberValueDatatype="130" unbalanced="0"/>
    <cacheHierarchy uniqueName="[Table1].[Department_Cleaned]" caption="Department_Cleaned" attribute="1" defaultMemberUniqueName="[Table1].[Department_Cleaned].[All]" allUniqueName="[Table1].[Department_Cleaned].[All]" dimensionUniqueName="[Table1]" displayFolder="" count="2" memberValueDatatype="130" unbalanced="0">
      <fieldsUsage count="2">
        <fieldUsage x="-1"/>
        <fieldUsage x="0"/>
      </fieldsUsage>
    </cacheHierarchy>
    <cacheHierarchy uniqueName="[Table1].[Department]" caption="Department" attribute="1" defaultMemberUniqueName="[Table1].[Department].[All]" allUniqueName="[Table1].[Department].[All]" dimensionUniqueName="[Table1]" displayFolder="" count="0" memberValueDatatype="130" unbalanced="0"/>
    <cacheHierarchy uniqueName="[Table1].[Doctor_Name]" caption="Doctor_Name" attribute="1" defaultMemberUniqueName="[Table1].[Doctor_Name].[All]" allUniqueName="[Table1].[Doctor_Name].[All]" dimensionUniqueName="[Table1]" displayFolder="" count="0" memberValueDatatype="130" unbalanced="0"/>
    <cacheHierarchy uniqueName="[Table1].[Room_Charges]" caption="Room_Charges" attribute="1" defaultMemberUniqueName="[Table1].[Room_Charges].[All]" allUniqueName="[Table1].[Room_Charges].[All]" dimensionUniqueName="[Table1]" displayFolder="" count="0" memberValueDatatype="20" unbalanced="0"/>
    <cacheHierarchy uniqueName="[Table1].[Lab_Charges]" caption="Lab_Charges" attribute="1" defaultMemberUniqueName="[Table1].[Lab_Charges].[All]" allUniqueName="[Table1].[Lab_Charges].[All]" dimensionUniqueName="[Table1]" displayFolder="" count="0" memberValueDatatype="20" unbalanced="0"/>
    <cacheHierarchy uniqueName="[Table1].[Medicine_Charges]" caption="Medicine_Charges" attribute="1" defaultMemberUniqueName="[Table1].[Medicine_Charges].[All]" allUniqueName="[Table1].[Medicine_Charges].[All]" dimensionUniqueName="[Table1]" displayFolder="" count="0" memberValueDatatype="20" unbalanced="0"/>
    <cacheHierarchy uniqueName="[Table1].[Total_Bill]" caption="Total_Bill" attribute="1" defaultMemberUniqueName="[Table1].[Total_Bill].[All]" allUniqueName="[Table1].[Total_Bill].[All]" dimensionUniqueName="[Table1]" displayFolder="" count="0" memberValueDatatype="20"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Insurance_Provider]" caption="Insurance_Provider" attribute="1" defaultMemberUniqueName="[Table1].[Insurance_Provider].[All]" allUniqueName="[Table1].[Insurance_Provider].[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Bill]" caption="Sum of Total_Bill" measure="1" displayFolder="" measureGroup="Table1" count="0" hidden="1">
      <extLst>
        <ext xmlns:x15="http://schemas.microsoft.com/office/spreadsheetml/2010/11/main" uri="{B97F6D7D-B522-45F9-BDA1-12C45D357490}">
          <x15:cacheHierarchy aggregatedColumn="15"/>
        </ext>
      </extLst>
    </cacheHierarchy>
    <cacheHierarchy uniqueName="[Measures].[Sum of Length_of_Stay_Days]" caption="Sum of Length_of_Stay_Days"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Patient_ID]" caption="Sum of Patient_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E ACRON" refreshedDate="46062.352393171299" backgroundQuery="1" createdVersion="7" refreshedVersion="7" minRefreshableVersion="3" recordCount="0" supportSubquery="1" supportAdvancedDrill="1" xr:uid="{0DF892F3-B71B-428F-8B4C-3FDAE2BABD8B}">
  <cacheSource type="external" connectionId="1"/>
  <cacheFields count="2">
    <cacheField name="[Table1].[Department_Cleaned].[Department_Cleaned]" caption="Department_Cleaned" numFmtId="0" hierarchy="9" level="1">
      <sharedItems count="5">
        <s v="Cardiology"/>
        <s v="General Medicine"/>
        <s v="Gynecology"/>
        <s v="Neurology"/>
        <s v="Orthopedics"/>
      </sharedItems>
    </cacheField>
    <cacheField name="[Measures].[Sum of Total_Bill]" caption="Sum of Total_Bill" numFmtId="0" hierarchy="20" level="32767"/>
  </cacheFields>
  <cacheHierarchies count="23">
    <cacheHierarchy uniqueName="[Table1].[Patient_ID]" caption="Patient_ID" attribute="1" defaultMemberUniqueName="[Table1].[Patient_ID].[All]" allUniqueName="[Table1].[Patient_ID].[All]" dimensionUniqueName="[Table1]" displayFolder="" count="0" memberValueDatatype="20" unbalanced="0"/>
    <cacheHierarchy uniqueName="[Table1].[Patient_Name]" caption="Patient_Name" attribute="1" defaultMemberUniqueName="[Table1].[Patient_Name].[All]" allUniqueName="[Table1].[Patient_Name].[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dmission_Date]" caption="Admission_Date" attribute="1" defaultMemberUniqueName="[Table1].[Admission_Date].[All]" allUniqueName="[Table1].[Admission_Date].[All]" dimensionUniqueName="[Table1]" displayFolder="" count="0" memberValueDatatype="130" unbalanced="0"/>
    <cacheHierarchy uniqueName="[Table1].[Discharge_Date]" caption="Discharge_Date" attribute="1" defaultMemberUniqueName="[Table1].[Discharge_Date].[All]" allUniqueName="[Table1].[Discharge_Date].[All]" dimensionUniqueName="[Table1]" displayFolder="" count="0" memberValueDatatype="130" unbalanced="0"/>
    <cacheHierarchy uniqueName="[Table1].[Length_of_Stay_Days]" caption="Length_of_Stay_Days" attribute="1" defaultMemberUniqueName="[Table1].[Length_of_Stay_Days].[All]" allUniqueName="[Table1].[Length_of_Stay_Days].[All]" dimensionUniqueName="[Table1]" displayFolder="" count="0" memberValueDatatype="20" unbalanced="0"/>
    <cacheHierarchy uniqueName="[Table1].[Admission_Month]" caption="Admission_Month" attribute="1" defaultMemberUniqueName="[Table1].[Admission_Month].[All]" allUniqueName="[Table1].[Admission_Month].[All]" dimensionUniqueName="[Table1]" displayFolder="" count="0" memberValueDatatype="130" unbalanced="0"/>
    <cacheHierarchy uniqueName="[Table1].[Department_Cleaned]" caption="Department_Cleaned" attribute="1" defaultMemberUniqueName="[Table1].[Department_Cleaned].[All]" allUniqueName="[Table1].[Department_Cleaned].[All]" dimensionUniqueName="[Table1]" displayFolder="" count="2" memberValueDatatype="130" unbalanced="0">
      <fieldsUsage count="2">
        <fieldUsage x="-1"/>
        <fieldUsage x="0"/>
      </fieldsUsage>
    </cacheHierarchy>
    <cacheHierarchy uniqueName="[Table1].[Department]" caption="Department" attribute="1" defaultMemberUniqueName="[Table1].[Department].[All]" allUniqueName="[Table1].[Department].[All]" dimensionUniqueName="[Table1]" displayFolder="" count="0" memberValueDatatype="130" unbalanced="0"/>
    <cacheHierarchy uniqueName="[Table1].[Doctor_Name]" caption="Doctor_Name" attribute="1" defaultMemberUniqueName="[Table1].[Doctor_Name].[All]" allUniqueName="[Table1].[Doctor_Name].[All]" dimensionUniqueName="[Table1]" displayFolder="" count="0" memberValueDatatype="130" unbalanced="0"/>
    <cacheHierarchy uniqueName="[Table1].[Room_Charges]" caption="Room_Charges" attribute="1" defaultMemberUniqueName="[Table1].[Room_Charges].[All]" allUniqueName="[Table1].[Room_Charges].[All]" dimensionUniqueName="[Table1]" displayFolder="" count="0" memberValueDatatype="20" unbalanced="0"/>
    <cacheHierarchy uniqueName="[Table1].[Lab_Charges]" caption="Lab_Charges" attribute="1" defaultMemberUniqueName="[Table1].[Lab_Charges].[All]" allUniqueName="[Table1].[Lab_Charges].[All]" dimensionUniqueName="[Table1]" displayFolder="" count="0" memberValueDatatype="20" unbalanced="0"/>
    <cacheHierarchy uniqueName="[Table1].[Medicine_Charges]" caption="Medicine_Charges" attribute="1" defaultMemberUniqueName="[Table1].[Medicine_Charges].[All]" allUniqueName="[Table1].[Medicine_Charges].[All]" dimensionUniqueName="[Table1]" displayFolder="" count="0" memberValueDatatype="20" unbalanced="0"/>
    <cacheHierarchy uniqueName="[Table1].[Total_Bill]" caption="Total_Bill" attribute="1" defaultMemberUniqueName="[Table1].[Total_Bill].[All]" allUniqueName="[Table1].[Total_Bill].[All]" dimensionUniqueName="[Table1]" displayFolder="" count="0" memberValueDatatype="20"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Insurance_Provider]" caption="Insurance_Provider" attribute="1" defaultMemberUniqueName="[Table1].[Insurance_Provider].[All]" allUniqueName="[Table1].[Insurance_Provider].[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Bill]" caption="Sum of Total_Bill" measure="1" displayFolder="" measureGroup="Table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Length_of_Stay_Days]" caption="Sum of Length_of_Stay_Days" measure="1" displayFolder="" measureGroup="Table1" count="0" hidden="1">
      <extLst>
        <ext xmlns:x15="http://schemas.microsoft.com/office/spreadsheetml/2010/11/main" uri="{B97F6D7D-B522-45F9-BDA1-12C45D357490}">
          <x15:cacheHierarchy aggregatedColumn="7"/>
        </ext>
      </extLst>
    </cacheHierarchy>
    <cacheHierarchy uniqueName="[Measures].[Sum of Patient_ID]" caption="Sum of Patient_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E ACRON" refreshedDate="46062.356146412036" backgroundQuery="1" createdVersion="7" refreshedVersion="7" minRefreshableVersion="3" recordCount="0" supportSubquery="1" supportAdvancedDrill="1" xr:uid="{D6C46FC6-DF6D-4E8F-A8BE-5C4755758896}">
  <cacheSource type="external" connectionId="1"/>
  <cacheFields count="2">
    <cacheField name="[Table1].[Payment_Mode].[Payment_Mode]" caption="Payment_Mode" numFmtId="0" hierarchy="16" level="1">
      <sharedItems count="4">
        <s v="Card"/>
        <s v="Cash"/>
        <s v="Insurance"/>
        <s v="UPI"/>
      </sharedItems>
    </cacheField>
    <cacheField name="[Measures].[Sum of Patient_ID]" caption="Sum of Patient_ID" numFmtId="0" hierarchy="22" level="32767"/>
  </cacheFields>
  <cacheHierarchies count="23">
    <cacheHierarchy uniqueName="[Table1].[Patient_ID]" caption="Patient_ID" attribute="1" defaultMemberUniqueName="[Table1].[Patient_ID].[All]" allUniqueName="[Table1].[Patient_ID].[All]" dimensionUniqueName="[Table1]" displayFolder="" count="0" memberValueDatatype="20" unbalanced="0"/>
    <cacheHierarchy uniqueName="[Table1].[Patient_Name]" caption="Patient_Name" attribute="1" defaultMemberUniqueName="[Table1].[Patient_Name].[All]" allUniqueName="[Table1].[Patient_Name].[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dmission_Date]" caption="Admission_Date" attribute="1" defaultMemberUniqueName="[Table1].[Admission_Date].[All]" allUniqueName="[Table1].[Admission_Date].[All]" dimensionUniqueName="[Table1]" displayFolder="" count="0" memberValueDatatype="130" unbalanced="0"/>
    <cacheHierarchy uniqueName="[Table1].[Discharge_Date]" caption="Discharge_Date" attribute="1" defaultMemberUniqueName="[Table1].[Discharge_Date].[All]" allUniqueName="[Table1].[Discharge_Date].[All]" dimensionUniqueName="[Table1]" displayFolder="" count="0" memberValueDatatype="130" unbalanced="0"/>
    <cacheHierarchy uniqueName="[Table1].[Length_of_Stay_Days]" caption="Length_of_Stay_Days" attribute="1" defaultMemberUniqueName="[Table1].[Length_of_Stay_Days].[All]" allUniqueName="[Table1].[Length_of_Stay_Days].[All]" dimensionUniqueName="[Table1]" displayFolder="" count="0" memberValueDatatype="20" unbalanced="0"/>
    <cacheHierarchy uniqueName="[Table1].[Admission_Month]" caption="Admission_Month" attribute="1" defaultMemberUniqueName="[Table1].[Admission_Month].[All]" allUniqueName="[Table1].[Admission_Month].[All]" dimensionUniqueName="[Table1]" displayFolder="" count="0" memberValueDatatype="130" unbalanced="0"/>
    <cacheHierarchy uniqueName="[Table1].[Department_Cleaned]" caption="Department_Cleaned" attribute="1" defaultMemberUniqueName="[Table1].[Department_Cleaned].[All]" allUniqueName="[Table1].[Department_Cleaned].[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Doctor_Name]" caption="Doctor_Name" attribute="1" defaultMemberUniqueName="[Table1].[Doctor_Name].[All]" allUniqueName="[Table1].[Doctor_Name].[All]" dimensionUniqueName="[Table1]" displayFolder="" count="0" memberValueDatatype="130" unbalanced="0"/>
    <cacheHierarchy uniqueName="[Table1].[Room_Charges]" caption="Room_Charges" attribute="1" defaultMemberUniqueName="[Table1].[Room_Charges].[All]" allUniqueName="[Table1].[Room_Charges].[All]" dimensionUniqueName="[Table1]" displayFolder="" count="0" memberValueDatatype="20" unbalanced="0"/>
    <cacheHierarchy uniqueName="[Table1].[Lab_Charges]" caption="Lab_Charges" attribute="1" defaultMemberUniqueName="[Table1].[Lab_Charges].[All]" allUniqueName="[Table1].[Lab_Charges].[All]" dimensionUniqueName="[Table1]" displayFolder="" count="0" memberValueDatatype="20" unbalanced="0"/>
    <cacheHierarchy uniqueName="[Table1].[Medicine_Charges]" caption="Medicine_Charges" attribute="1" defaultMemberUniqueName="[Table1].[Medicine_Charges].[All]" allUniqueName="[Table1].[Medicine_Charges].[All]" dimensionUniqueName="[Table1]" displayFolder="" count="0" memberValueDatatype="20" unbalanced="0"/>
    <cacheHierarchy uniqueName="[Table1].[Total_Bill]" caption="Total_Bill" attribute="1" defaultMemberUniqueName="[Table1].[Total_Bill].[All]" allUniqueName="[Table1].[Total_Bill].[All]" dimensionUniqueName="[Table1]" displayFolder="" count="0" memberValueDatatype="20" unbalanced="0"/>
    <cacheHierarchy uniqueName="[Table1].[Payment_Mode]" caption="Payment_Mode" attribute="1" defaultMemberUniqueName="[Table1].[Payment_Mode].[All]" allUniqueName="[Table1].[Payment_Mode].[All]" dimensionUniqueName="[Table1]" displayFolder="" count="2" memberValueDatatype="130" unbalanced="0">
      <fieldsUsage count="2">
        <fieldUsage x="-1"/>
        <fieldUsage x="0"/>
      </fieldsUsage>
    </cacheHierarchy>
    <cacheHierarchy uniqueName="[Table1].[Insurance_Provider]" caption="Insurance_Provider" attribute="1" defaultMemberUniqueName="[Table1].[Insurance_Provider].[All]" allUniqueName="[Table1].[Insurance_Provider].[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Bill]" caption="Sum of Total_Bill" measure="1" displayFolder="" measureGroup="Table1" count="0" hidden="1">
      <extLst>
        <ext xmlns:x15="http://schemas.microsoft.com/office/spreadsheetml/2010/11/main" uri="{B97F6D7D-B522-45F9-BDA1-12C45D357490}">
          <x15:cacheHierarchy aggregatedColumn="15"/>
        </ext>
      </extLst>
    </cacheHierarchy>
    <cacheHierarchy uniqueName="[Measures].[Sum of Length_of_Stay_Days]" caption="Sum of Length_of_Stay_Days" measure="1" displayFolder="" measureGroup="Table1" count="0" hidden="1">
      <extLst>
        <ext xmlns:x15="http://schemas.microsoft.com/office/spreadsheetml/2010/11/main" uri="{B97F6D7D-B522-45F9-BDA1-12C45D357490}">
          <x15:cacheHierarchy aggregatedColumn="7"/>
        </ext>
      </extLst>
    </cacheHierarchy>
    <cacheHierarchy uniqueName="[Measures].[Sum of Patient_ID]" caption="Sum of Patient_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n v="1001"/>
    <s v="Neha Das"/>
    <n v="49"/>
    <s v="35-49"/>
    <s v="Female"/>
    <s v="2024-03-13"/>
    <s v="2024-03-15"/>
    <n v="2"/>
    <x v="0"/>
    <x v="0"/>
    <x v="0"/>
    <s v="Dr. Mehta"/>
    <n v="18720"/>
    <n v="4058"/>
    <n v="5079"/>
    <n v="27857"/>
    <x v="0"/>
    <s v="N/A"/>
  </r>
  <r>
    <n v="1002"/>
    <s v="Manoj Yadav"/>
    <n v="60"/>
    <s v="50+"/>
    <s v="Female"/>
    <s v="2024-02-02"/>
    <s v="2024-02-10"/>
    <n v="8"/>
    <x v="1"/>
    <x v="1"/>
    <x v="1"/>
    <s v="Dr. Nair"/>
    <n v="20303"/>
    <n v="3591"/>
    <n v="6340"/>
    <n v="30234"/>
    <x v="1"/>
    <s v="N/A"/>
  </r>
  <r>
    <n v="1003"/>
    <s v="Rahul Kumar"/>
    <n v="43"/>
    <s v="35-49"/>
    <s v="Male"/>
    <s v="2024-01-09"/>
    <s v="2024-01-14"/>
    <n v="5"/>
    <x v="2"/>
    <x v="2"/>
    <x v="2"/>
    <s v="Dr. Khanna"/>
    <n v="16184"/>
    <n v="3583"/>
    <n v="5990"/>
    <n v="25757"/>
    <x v="0"/>
    <s v="N/A"/>
  </r>
  <r>
    <n v="1004"/>
    <s v="Kavya Iyer"/>
    <n v="18"/>
    <s v="18-24"/>
    <s v="Female"/>
    <s v="2024-01-14"/>
    <s v="2024-01-17"/>
    <n v="3"/>
    <x v="2"/>
    <x v="1"/>
    <x v="1"/>
    <s v="Dr. Nair"/>
    <n v="19302"/>
    <n v="5016"/>
    <n v="5844"/>
    <n v="30162"/>
    <x v="1"/>
    <s v="N/A"/>
  </r>
  <r>
    <n v="1005"/>
    <s v="Nisha Kumar"/>
    <n v="62"/>
    <s v="50+"/>
    <s v="Female"/>
    <s v="2024-03-30"/>
    <s v="2024-04-08"/>
    <n v="9"/>
    <x v="0"/>
    <x v="3"/>
    <x v="3"/>
    <s v="Dr. Singh"/>
    <n v="16626"/>
    <n v="3167"/>
    <n v="6486"/>
    <n v="26279"/>
    <x v="2"/>
    <s v="N/A"/>
  </r>
  <r>
    <n v="1006"/>
    <s v="Rohit Yadav"/>
    <n v="25"/>
    <s v="25-34"/>
    <s v="Male"/>
    <s v="2024-01-11"/>
    <s v="2024-01-16"/>
    <n v="5"/>
    <x v="2"/>
    <x v="0"/>
    <x v="0"/>
    <s v="Dr. Mehta"/>
    <n v="15445"/>
    <n v="6615"/>
    <n v="4029"/>
    <n v="26089"/>
    <x v="2"/>
    <s v="N/A"/>
  </r>
  <r>
    <n v="1007"/>
    <s v="Kiran Kumar"/>
    <n v="61"/>
    <s v="50+"/>
    <s v="Male"/>
    <s v="2024-01-21"/>
    <s v="2024-01-23"/>
    <n v="2"/>
    <x v="2"/>
    <x v="3"/>
    <x v="3"/>
    <s v="Dr. Singh"/>
    <n v="23259"/>
    <n v="5742"/>
    <n v="4617"/>
    <n v="33618"/>
    <x v="1"/>
    <s v="N/A"/>
  </r>
  <r>
    <n v="1008"/>
    <s v="Sneha Jain"/>
    <n v="57"/>
    <s v="50+"/>
    <s v="Female"/>
    <s v="2024-05-08"/>
    <s v="2024-05-17"/>
    <n v="9"/>
    <x v="3"/>
    <x v="0"/>
    <x v="0"/>
    <s v="Dr. Mehta"/>
    <n v="10444"/>
    <n v="2833"/>
    <n v="3640"/>
    <n v="16917"/>
    <x v="2"/>
    <s v="N/A"/>
  </r>
  <r>
    <n v="1009"/>
    <s v="Suresh Kumar"/>
    <n v="53"/>
    <s v="50+"/>
    <s v="Female"/>
    <s v="2024-04-22"/>
    <s v="2024-04-23"/>
    <n v="1"/>
    <x v="4"/>
    <x v="3"/>
    <x v="3"/>
    <s v="Dr. Singh"/>
    <n v="13171"/>
    <n v="3455"/>
    <n v="6147"/>
    <n v="22773"/>
    <x v="1"/>
    <s v="N/A"/>
  </r>
  <r>
    <n v="1010"/>
    <s v="Manoj Verma"/>
    <n v="34"/>
    <s v="25-34"/>
    <s v="Female"/>
    <s v="2024-02-05"/>
    <s v="2024-02-11"/>
    <n v="6"/>
    <x v="1"/>
    <x v="2"/>
    <x v="2"/>
    <s v="Dr. Khanna"/>
    <n v="8234"/>
    <n v="3258"/>
    <n v="6511"/>
    <n v="18003"/>
    <x v="3"/>
    <s v="HDFC Ergo"/>
  </r>
  <r>
    <n v="1011"/>
    <s v="Rina Sharma"/>
    <n v="54"/>
    <s v="50+"/>
    <s v="Male"/>
    <s v="2024-02-18"/>
    <s v="2024-02-22"/>
    <n v="4"/>
    <x v="1"/>
    <x v="2"/>
    <x v="2"/>
    <s v="Dr. Khanna"/>
    <n v="16401"/>
    <n v="3310"/>
    <n v="3796"/>
    <n v="23507"/>
    <x v="3"/>
    <s v="Star Health"/>
  </r>
  <r>
    <n v="1012"/>
    <s v="Amit Kumar"/>
    <n v="54"/>
    <s v="50+"/>
    <s v="Female"/>
    <s v="2024-03-06"/>
    <s v="2024-03-15"/>
    <n v="9"/>
    <x v="0"/>
    <x v="1"/>
    <x v="1"/>
    <s v="Dr. Nair"/>
    <n v="24266"/>
    <n v="4765"/>
    <n v="4379"/>
    <n v="33410"/>
    <x v="1"/>
    <s v="N/A"/>
  </r>
  <r>
    <n v="1013"/>
    <s v="Priya Iyer"/>
    <n v="69"/>
    <s v="50+"/>
    <s v="Male"/>
    <s v="2024-03-03"/>
    <s v="2024-03-06"/>
    <n v="3"/>
    <x v="0"/>
    <x v="4"/>
    <x v="4"/>
    <s v="Dr. Rao"/>
    <n v="23272"/>
    <n v="2125"/>
    <n v="3984"/>
    <n v="29381"/>
    <x v="1"/>
    <s v="N/A"/>
  </r>
  <r>
    <n v="1014"/>
    <s v="Rina Verma"/>
    <n v="35"/>
    <s v="35-49"/>
    <s v="Male"/>
    <s v="2024-02-03"/>
    <s v="2024-02-12"/>
    <n v="9"/>
    <x v="1"/>
    <x v="4"/>
    <x v="4"/>
    <s v="Dr. Rao"/>
    <n v="18659"/>
    <n v="7183"/>
    <n v="4835"/>
    <n v="30677"/>
    <x v="2"/>
    <s v="N/A"/>
  </r>
  <r>
    <n v="1015"/>
    <s v="Pooja Sharma"/>
    <n v="69"/>
    <s v="50+"/>
    <s v="Female"/>
    <s v="2024-02-05"/>
    <s v="2024-02-12"/>
    <n v="7"/>
    <x v="1"/>
    <x v="4"/>
    <x v="4"/>
    <s v="Dr. Rao"/>
    <n v="21178"/>
    <n v="3331"/>
    <n v="3606"/>
    <n v="28115"/>
    <x v="1"/>
    <s v="N/A"/>
  </r>
  <r>
    <n v="1016"/>
    <s v="Ankit Jain"/>
    <n v="52"/>
    <s v="50+"/>
    <s v="Female"/>
    <s v="2024-05-22"/>
    <s v="2024-05-29"/>
    <n v="7"/>
    <x v="3"/>
    <x v="4"/>
    <x v="4"/>
    <s v="Dr. Rao"/>
    <n v="16258"/>
    <n v="6058"/>
    <n v="6287"/>
    <n v="28603"/>
    <x v="0"/>
    <s v="N/A"/>
  </r>
  <r>
    <n v="1017"/>
    <s v="Nisha Patel"/>
    <n v="62"/>
    <s v="50+"/>
    <s v="Male"/>
    <s v="2024-02-05"/>
    <s v="2024-02-08"/>
    <n v="3"/>
    <x v="1"/>
    <x v="0"/>
    <x v="0"/>
    <s v="Dr. Mehta"/>
    <n v="10972"/>
    <n v="3478"/>
    <n v="7781"/>
    <n v="22231"/>
    <x v="3"/>
    <s v="HDFC Ergo"/>
  </r>
  <r>
    <n v="1018"/>
    <s v="Kavya Yadav"/>
    <n v="56"/>
    <s v="50+"/>
    <s v="Male"/>
    <s v="2024-01-13"/>
    <s v="2024-01-20"/>
    <n v="7"/>
    <x v="2"/>
    <x v="3"/>
    <x v="3"/>
    <s v="Dr. Singh"/>
    <n v="7465"/>
    <n v="5216"/>
    <n v="6356"/>
    <n v="19037"/>
    <x v="0"/>
    <s v="N/A"/>
  </r>
  <r>
    <n v="1019"/>
    <s v="Priya Das"/>
    <n v="22"/>
    <s v="18-24"/>
    <s v="Male"/>
    <s v="2024-03-30"/>
    <s v="2024-04-01"/>
    <n v="2"/>
    <x v="0"/>
    <x v="2"/>
    <x v="2"/>
    <s v="Dr. Khanna"/>
    <n v="9251"/>
    <n v="7937"/>
    <n v="7884"/>
    <n v="25072"/>
    <x v="0"/>
    <s v="N/A"/>
  </r>
  <r>
    <n v="1020"/>
    <s v="Rina Malhotra"/>
    <n v="58"/>
    <s v="50+"/>
    <s v="Male"/>
    <s v="2024-01-28"/>
    <s v="2024-02-02"/>
    <n v="5"/>
    <x v="2"/>
    <x v="1"/>
    <x v="1"/>
    <s v="Dr. Nair"/>
    <n v="8683"/>
    <n v="6065"/>
    <n v="4041"/>
    <n v="18789"/>
    <x v="2"/>
    <s v="N/A"/>
  </r>
  <r>
    <n v="1021"/>
    <s v="Priya Sharma"/>
    <n v="31"/>
    <s v="25-34"/>
    <s v="Female"/>
    <s v="2024-02-13"/>
    <s v="2024-02-17"/>
    <n v="4"/>
    <x v="1"/>
    <x v="2"/>
    <x v="2"/>
    <s v="Dr. Khanna"/>
    <n v="19252"/>
    <n v="6803"/>
    <n v="4326"/>
    <n v="30381"/>
    <x v="2"/>
    <s v="N/A"/>
  </r>
  <r>
    <n v="1022"/>
    <s v="Kiran Jain"/>
    <n v="73"/>
    <s v="50+"/>
    <s v="Male"/>
    <s v="2024-03-12"/>
    <s v="2024-03-15"/>
    <n v="3"/>
    <x v="0"/>
    <x v="1"/>
    <x v="1"/>
    <s v="Dr. Nair"/>
    <n v="19670"/>
    <n v="7139"/>
    <n v="4327"/>
    <n v="31136"/>
    <x v="2"/>
    <s v="N/A"/>
  </r>
  <r>
    <n v="1023"/>
    <s v="Priya Verma"/>
    <n v="68"/>
    <s v="50+"/>
    <s v="Male"/>
    <s v="2024-02-10"/>
    <s v="2024-02-18"/>
    <n v="8"/>
    <x v="1"/>
    <x v="4"/>
    <x v="4"/>
    <s v="Dr. Rao"/>
    <n v="21924"/>
    <n v="7611"/>
    <n v="3801"/>
    <n v="33336"/>
    <x v="0"/>
    <s v="N/A"/>
  </r>
  <r>
    <n v="1024"/>
    <s v="Neha Kumar"/>
    <n v="63"/>
    <s v="50+"/>
    <s v="Female"/>
    <s v="2024-03-15"/>
    <s v="2024-03-19"/>
    <n v="4"/>
    <x v="0"/>
    <x v="4"/>
    <x v="4"/>
    <s v="Dr. Rao"/>
    <n v="7023"/>
    <n v="3249"/>
    <n v="8542"/>
    <n v="18814"/>
    <x v="1"/>
    <s v="N/A"/>
  </r>
  <r>
    <n v="1025"/>
    <s v="Pooja Verma"/>
    <n v="38"/>
    <s v="35-49"/>
    <s v="Male"/>
    <s v="2024-02-19"/>
    <s v="2024-02-21"/>
    <n v="2"/>
    <x v="1"/>
    <x v="0"/>
    <x v="0"/>
    <s v="Dr. Mehta"/>
    <n v="9910"/>
    <n v="5754"/>
    <n v="8828"/>
    <n v="24492"/>
    <x v="2"/>
    <s v="N/A"/>
  </r>
  <r>
    <n v="1026"/>
    <s v="Pooja Kumar"/>
    <n v="29"/>
    <s v="25-34"/>
    <s v="Male"/>
    <s v="2024-02-06"/>
    <s v="2024-02-14"/>
    <n v="8"/>
    <x v="1"/>
    <x v="2"/>
    <x v="2"/>
    <s v="Dr. Khanna"/>
    <n v="19694"/>
    <n v="2395"/>
    <n v="6918"/>
    <n v="29007"/>
    <x v="0"/>
    <s v="N/A"/>
  </r>
  <r>
    <n v="1027"/>
    <s v="Neha Jain"/>
    <n v="63"/>
    <s v="50+"/>
    <s v="Female"/>
    <s v="2024-05-27"/>
    <s v="2024-05-30"/>
    <n v="3"/>
    <x v="3"/>
    <x v="2"/>
    <x v="2"/>
    <s v="Dr. Khanna"/>
    <n v="22776"/>
    <n v="6690"/>
    <n v="7624"/>
    <n v="37090"/>
    <x v="3"/>
    <s v="ICICI Lombard"/>
  </r>
  <r>
    <n v="1028"/>
    <s v="Amit Malhotra"/>
    <n v="32"/>
    <s v="25-34"/>
    <s v="Female"/>
    <s v="2024-03-13"/>
    <s v="2024-03-20"/>
    <n v="7"/>
    <x v="0"/>
    <x v="4"/>
    <x v="4"/>
    <s v="Dr. Rao"/>
    <n v="17895"/>
    <n v="2343"/>
    <n v="6870"/>
    <n v="27108"/>
    <x v="1"/>
    <s v="N/A"/>
  </r>
  <r>
    <n v="1029"/>
    <s v="Swati Reddy"/>
    <n v="32"/>
    <s v="25-34"/>
    <s v="Female"/>
    <s v="2024-01-18"/>
    <s v="2024-01-23"/>
    <n v="5"/>
    <x v="2"/>
    <x v="1"/>
    <x v="1"/>
    <s v="Dr. Nair"/>
    <n v="16302"/>
    <n v="6460"/>
    <n v="6176"/>
    <n v="28938"/>
    <x v="0"/>
    <s v="N/A"/>
  </r>
  <r>
    <n v="1030"/>
    <s v="Kavya Sharma"/>
    <n v="19"/>
    <s v="18-24"/>
    <s v="Male"/>
    <s v="2024-01-06"/>
    <s v="2024-01-12"/>
    <n v="6"/>
    <x v="2"/>
    <x v="0"/>
    <x v="0"/>
    <s v="Dr. Mehta"/>
    <n v="12251"/>
    <n v="3380"/>
    <n v="6649"/>
    <n v="22280"/>
    <x v="0"/>
    <s v="N/A"/>
  </r>
  <r>
    <n v="1031"/>
    <s v="Rohit Jain"/>
    <n v="53"/>
    <s v="50+"/>
    <s v="Female"/>
    <s v="2024-04-04"/>
    <s v="2024-04-05"/>
    <n v="1"/>
    <x v="4"/>
    <x v="0"/>
    <x v="0"/>
    <s v="Dr. Mehta"/>
    <n v="13763"/>
    <n v="7694"/>
    <n v="4160"/>
    <n v="25617"/>
    <x v="3"/>
    <s v="Star Health"/>
  </r>
  <r>
    <n v="1032"/>
    <s v="Arjun Jain"/>
    <n v="41"/>
    <s v="35-49"/>
    <s v="Male"/>
    <s v="2024-01-05"/>
    <s v="2024-01-11"/>
    <n v="6"/>
    <x v="2"/>
    <x v="1"/>
    <x v="1"/>
    <s v="Dr. Nair"/>
    <n v="6495"/>
    <n v="2646"/>
    <n v="7473"/>
    <n v="16614"/>
    <x v="1"/>
    <s v="N/A"/>
  </r>
  <r>
    <n v="1033"/>
    <s v="Kiran Iyer"/>
    <n v="24"/>
    <s v="18-24"/>
    <s v="Female"/>
    <s v="2024-02-23"/>
    <s v="2024-03-01"/>
    <n v="7"/>
    <x v="1"/>
    <x v="2"/>
    <x v="2"/>
    <s v="Dr. Khanna"/>
    <n v="13360"/>
    <n v="7620"/>
    <n v="8621"/>
    <n v="29601"/>
    <x v="1"/>
    <s v="N/A"/>
  </r>
  <r>
    <n v="1034"/>
    <s v="Rohit Kumar"/>
    <n v="28"/>
    <s v="25-34"/>
    <s v="Female"/>
    <s v="2024-04-06"/>
    <s v="2024-04-12"/>
    <n v="6"/>
    <x v="4"/>
    <x v="3"/>
    <x v="3"/>
    <s v="Dr. Singh"/>
    <n v="17689"/>
    <n v="3405"/>
    <n v="7124"/>
    <n v="28218"/>
    <x v="3"/>
    <s v="ICICI Lombard"/>
  </r>
  <r>
    <n v="1035"/>
    <s v="Sneha Iyer"/>
    <n v="39"/>
    <s v="35-49"/>
    <s v="Female"/>
    <s v="2024-03-19"/>
    <s v="2024-03-28"/>
    <n v="9"/>
    <x v="0"/>
    <x v="0"/>
    <x v="0"/>
    <s v="Dr. Mehta"/>
    <n v="8653"/>
    <n v="4594"/>
    <n v="3280"/>
    <n v="16527"/>
    <x v="2"/>
    <s v="N/A"/>
  </r>
  <r>
    <n v="1036"/>
    <s v="Pooja Malhotra"/>
    <n v="65"/>
    <s v="50+"/>
    <s v="Male"/>
    <s v="2024-05-17"/>
    <s v="2024-05-21"/>
    <n v="4"/>
    <x v="3"/>
    <x v="1"/>
    <x v="1"/>
    <s v="Dr. Nair"/>
    <n v="23772"/>
    <n v="5756"/>
    <n v="5492"/>
    <n v="35020"/>
    <x v="0"/>
    <s v="N/A"/>
  </r>
  <r>
    <n v="1037"/>
    <s v="Suresh Reddy"/>
    <n v="50"/>
    <s v="50+"/>
    <s v="Male"/>
    <s v="2024-01-08"/>
    <s v="2024-01-11"/>
    <n v="3"/>
    <x v="2"/>
    <x v="0"/>
    <x v="0"/>
    <s v="Dr. Mehta"/>
    <n v="13921"/>
    <n v="6351"/>
    <n v="8966"/>
    <n v="29238"/>
    <x v="3"/>
    <s v="N/A"/>
  </r>
  <r>
    <n v="1038"/>
    <s v="Priya Jain"/>
    <n v="61"/>
    <s v="50+"/>
    <s v="Female"/>
    <s v="2024-03-05"/>
    <s v="2024-03-11"/>
    <n v="6"/>
    <x v="0"/>
    <x v="1"/>
    <x v="1"/>
    <s v="Dr. Nair"/>
    <n v="14236"/>
    <n v="7250"/>
    <n v="4565"/>
    <n v="26051"/>
    <x v="1"/>
    <s v="N/A"/>
  </r>
  <r>
    <n v="1039"/>
    <s v="Kavya Reddy"/>
    <n v="71"/>
    <s v="50+"/>
    <s v="Male"/>
    <s v="2024-01-04"/>
    <s v="2024-01-06"/>
    <n v="2"/>
    <x v="2"/>
    <x v="1"/>
    <x v="1"/>
    <s v="Dr. Nair"/>
    <n v="7683"/>
    <n v="4562"/>
    <n v="7115"/>
    <n v="19360"/>
    <x v="2"/>
    <s v="N/A"/>
  </r>
  <r>
    <n v="1040"/>
    <s v="Swati Jain"/>
    <n v="66"/>
    <s v="50+"/>
    <s v="Male"/>
    <s v="2024-04-11"/>
    <s v="2024-04-18"/>
    <n v="7"/>
    <x v="4"/>
    <x v="4"/>
    <x v="4"/>
    <s v="Dr. Rao"/>
    <n v="22903"/>
    <n v="5857"/>
    <n v="6202"/>
    <n v="34962"/>
    <x v="0"/>
    <s v="N/A"/>
  </r>
  <r>
    <n v="1041"/>
    <s v="Swati Reddy"/>
    <n v="25"/>
    <s v="25-34"/>
    <s v="Male"/>
    <s v="2024-05-21"/>
    <s v="2024-05-22"/>
    <n v="1"/>
    <x v="3"/>
    <x v="1"/>
    <x v="1"/>
    <s v="Dr. Nair"/>
    <n v="18325"/>
    <n v="6526"/>
    <n v="8983"/>
    <n v="33834"/>
    <x v="3"/>
    <s v="ICICI Lombard"/>
  </r>
  <r>
    <n v="1042"/>
    <s v="Pooja Das"/>
    <n v="37"/>
    <s v="35-49"/>
    <s v="Male"/>
    <s v="2024-04-20"/>
    <s v="2024-04-23"/>
    <n v="3"/>
    <x v="4"/>
    <x v="2"/>
    <x v="2"/>
    <s v="Dr. Khanna"/>
    <n v="12547"/>
    <n v="7575"/>
    <n v="6680"/>
    <n v="26802"/>
    <x v="0"/>
    <s v="N/A"/>
  </r>
  <r>
    <n v="1043"/>
    <s v="Arjun Jain"/>
    <n v="37"/>
    <s v="35-49"/>
    <s v="Female"/>
    <s v="2024-01-15"/>
    <s v="2024-01-18"/>
    <n v="3"/>
    <x v="2"/>
    <x v="4"/>
    <x v="4"/>
    <s v="Dr. Rao"/>
    <n v="13851"/>
    <n v="6677"/>
    <n v="7499"/>
    <n v="28027"/>
    <x v="2"/>
    <s v="N/A"/>
  </r>
  <r>
    <n v="1044"/>
    <s v="Ankit Iyer"/>
    <n v="45"/>
    <s v="35-49"/>
    <s v="Female"/>
    <s v="2024-03-15"/>
    <s v="2024-03-16"/>
    <n v="1"/>
    <x v="0"/>
    <x v="1"/>
    <x v="1"/>
    <s v="Dr. Nair"/>
    <n v="13710"/>
    <n v="6094"/>
    <n v="3434"/>
    <n v="23238"/>
    <x v="3"/>
    <s v="ICICI Lombard"/>
  </r>
  <r>
    <n v="1045"/>
    <s v="Neha Yadav"/>
    <n v="55"/>
    <s v="50+"/>
    <s v="Female"/>
    <s v="2024-01-29"/>
    <s v="2024-02-08"/>
    <n v="10"/>
    <x v="2"/>
    <x v="1"/>
    <x v="1"/>
    <s v="Dr. Nair"/>
    <n v="12368"/>
    <n v="5516"/>
    <n v="5807"/>
    <n v="23691"/>
    <x v="2"/>
    <s v="N/A"/>
  </r>
  <r>
    <n v="1046"/>
    <s v="Vikas Malhotra"/>
    <n v="20"/>
    <s v="18-24"/>
    <s v="Female"/>
    <s v="2024-01-09"/>
    <s v="2024-01-12"/>
    <n v="3"/>
    <x v="2"/>
    <x v="3"/>
    <x v="3"/>
    <s v="Dr. Singh"/>
    <n v="17285"/>
    <n v="4459"/>
    <n v="6463"/>
    <n v="28207"/>
    <x v="2"/>
    <s v="N/A"/>
  </r>
  <r>
    <n v="1047"/>
    <s v="Amit Malhotra"/>
    <n v="18"/>
    <s v="18-24"/>
    <s v="Male"/>
    <s v="2024-03-18"/>
    <s v="2024-03-26"/>
    <n v="8"/>
    <x v="0"/>
    <x v="3"/>
    <x v="3"/>
    <s v="Dr. Singh"/>
    <n v="6292"/>
    <n v="3800"/>
    <n v="7514"/>
    <n v="17606"/>
    <x v="3"/>
    <s v="HDFC Ergo"/>
  </r>
  <r>
    <n v="1048"/>
    <s v="Neha Patel"/>
    <n v="20"/>
    <s v="18-24"/>
    <s v="Male"/>
    <s v="2024-05-22"/>
    <s v="2024-05-29"/>
    <n v="7"/>
    <x v="3"/>
    <x v="2"/>
    <x v="2"/>
    <s v="Dr. Khanna"/>
    <n v="18821"/>
    <n v="4844"/>
    <n v="7328"/>
    <n v="30993"/>
    <x v="3"/>
    <s v="ICICI Lombard"/>
  </r>
  <r>
    <n v="1049"/>
    <s v="Anjali Jain"/>
    <n v="22"/>
    <s v="18-24"/>
    <s v="Female"/>
    <s v="2024-02-21"/>
    <s v="2024-02-24"/>
    <n v="3"/>
    <x v="1"/>
    <x v="0"/>
    <x v="0"/>
    <s v="Dr. Mehta"/>
    <n v="19966"/>
    <n v="7297"/>
    <n v="6562"/>
    <n v="33825"/>
    <x v="2"/>
    <s v="N/A"/>
  </r>
  <r>
    <n v="1050"/>
    <s v="Ankit Sharma"/>
    <n v="69"/>
    <s v="50+"/>
    <s v="Male"/>
    <s v="2024-05-03"/>
    <s v="2024-05-13"/>
    <n v="10"/>
    <x v="3"/>
    <x v="1"/>
    <x v="1"/>
    <s v="Dr. Nair"/>
    <n v="21649"/>
    <n v="4348"/>
    <n v="3935"/>
    <n v="29932"/>
    <x v="2"/>
    <s v="N/A"/>
  </r>
  <r>
    <n v="1051"/>
    <s v="Meera Patel"/>
    <n v="49"/>
    <s v="35-49"/>
    <s v="Male"/>
    <s v="2024-04-12"/>
    <s v="2024-04-18"/>
    <n v="6"/>
    <x v="4"/>
    <x v="3"/>
    <x v="3"/>
    <s v="Dr. Singh"/>
    <n v="14024"/>
    <n v="7240"/>
    <n v="7183"/>
    <n v="28447"/>
    <x v="0"/>
    <s v="N/A"/>
  </r>
  <r>
    <n v="1052"/>
    <s v="Kavya Patel"/>
    <n v="41"/>
    <s v="35-49"/>
    <s v="Male"/>
    <s v="2024-05-28"/>
    <s v="2024-06-03"/>
    <n v="6"/>
    <x v="3"/>
    <x v="4"/>
    <x v="4"/>
    <s v="Dr. Rao"/>
    <n v="14807"/>
    <n v="3021"/>
    <n v="6131"/>
    <n v="23959"/>
    <x v="3"/>
    <s v="Star Health"/>
  </r>
  <r>
    <n v="1053"/>
    <s v="Ankit Jain"/>
    <n v="24"/>
    <s v="18-24"/>
    <s v="Male"/>
    <s v="2024-03-21"/>
    <s v="2024-03-23"/>
    <n v="2"/>
    <x v="0"/>
    <x v="4"/>
    <x v="4"/>
    <s v="Dr. Rao"/>
    <n v="24931"/>
    <n v="6824"/>
    <n v="5098"/>
    <n v="36853"/>
    <x v="3"/>
    <s v="HDFC Ergo"/>
  </r>
  <r>
    <n v="1054"/>
    <s v="Meera Kumar"/>
    <n v="56"/>
    <s v="50+"/>
    <s v="Male"/>
    <s v="2024-02-22"/>
    <s v="2024-02-25"/>
    <n v="3"/>
    <x v="1"/>
    <x v="1"/>
    <x v="1"/>
    <s v="Dr. Nair"/>
    <n v="19305"/>
    <n v="2147"/>
    <n v="3273"/>
    <n v="24725"/>
    <x v="0"/>
    <s v="N/A"/>
  </r>
  <r>
    <n v="1055"/>
    <s v="Manoj Malhotra"/>
    <n v="73"/>
    <s v="50+"/>
    <s v="Female"/>
    <s v="2024-01-12"/>
    <s v="2024-01-13"/>
    <n v="1"/>
    <x v="2"/>
    <x v="2"/>
    <x v="2"/>
    <s v="Dr. Khanna"/>
    <n v="23358"/>
    <n v="6772"/>
    <n v="6191"/>
    <n v="36321"/>
    <x v="2"/>
    <s v="N/A"/>
  </r>
  <r>
    <n v="1056"/>
    <s v="Sneha Reddy"/>
    <n v="51"/>
    <s v="50+"/>
    <s v="Female"/>
    <s v="2024-01-05"/>
    <s v="2024-01-15"/>
    <n v="10"/>
    <x v="2"/>
    <x v="4"/>
    <x v="4"/>
    <s v="Dr. Rao"/>
    <n v="12028"/>
    <n v="3604"/>
    <n v="4010"/>
    <n v="19642"/>
    <x v="0"/>
    <s v="N/A"/>
  </r>
  <r>
    <n v="1057"/>
    <s v="Amit Sharma"/>
    <n v="37"/>
    <s v="35-49"/>
    <s v="Female"/>
    <s v="2024-03-23"/>
    <s v="2024-03-28"/>
    <n v="5"/>
    <x v="0"/>
    <x v="3"/>
    <x v="3"/>
    <s v="Dr. Singh"/>
    <n v="19475"/>
    <n v="3285"/>
    <n v="6144"/>
    <n v="28904"/>
    <x v="3"/>
    <s v="Star Health"/>
  </r>
  <r>
    <n v="1058"/>
    <s v="Amit Das"/>
    <n v="64"/>
    <s v="50+"/>
    <s v="Female"/>
    <s v="2024-04-16"/>
    <s v="2024-04-22"/>
    <n v="6"/>
    <x v="4"/>
    <x v="4"/>
    <x v="4"/>
    <s v="Dr. Rao"/>
    <n v="20525"/>
    <n v="6432"/>
    <n v="3314"/>
    <n v="30271"/>
    <x v="0"/>
    <s v="N/A"/>
  </r>
  <r>
    <n v="1059"/>
    <s v="Neha Sharma"/>
    <n v="46"/>
    <s v="35-49"/>
    <s v="Male"/>
    <s v="2024-04-07"/>
    <s v="2024-04-11"/>
    <n v="4"/>
    <x v="4"/>
    <x v="3"/>
    <x v="3"/>
    <s v="Dr. Singh"/>
    <n v="21277"/>
    <n v="7052"/>
    <n v="7577"/>
    <n v="35906"/>
    <x v="2"/>
    <s v="N/A"/>
  </r>
  <r>
    <n v="1060"/>
    <s v="Deepak Malhotra"/>
    <n v="66"/>
    <s v="50+"/>
    <s v="Female"/>
    <s v="2024-04-24"/>
    <s v="2024-05-02"/>
    <n v="8"/>
    <x v="4"/>
    <x v="0"/>
    <x v="0"/>
    <s v="Dr. Mehta"/>
    <n v="20470"/>
    <n v="3811"/>
    <n v="7098"/>
    <n v="31379"/>
    <x v="1"/>
    <s v="N/A"/>
  </r>
  <r>
    <n v="1061"/>
    <s v="Arjun Das"/>
    <n v="18"/>
    <s v="18-24"/>
    <s v="Female"/>
    <s v="2024-02-08"/>
    <s v="2024-02-09"/>
    <n v="1"/>
    <x v="1"/>
    <x v="4"/>
    <x v="4"/>
    <s v="Dr. Rao"/>
    <n v="14077"/>
    <n v="2246"/>
    <n v="6095"/>
    <n v="22418"/>
    <x v="2"/>
    <s v="N/A"/>
  </r>
  <r>
    <n v="1062"/>
    <s v="Arjun Das"/>
    <n v="57"/>
    <s v="50+"/>
    <s v="Female"/>
    <s v="2024-03-03"/>
    <s v="2024-03-06"/>
    <n v="3"/>
    <x v="0"/>
    <x v="1"/>
    <x v="1"/>
    <s v="Dr. Nair"/>
    <n v="13648"/>
    <n v="5248"/>
    <n v="4246"/>
    <n v="23142"/>
    <x v="0"/>
    <s v="N/A"/>
  </r>
  <r>
    <n v="1063"/>
    <s v="Rahul Sharma"/>
    <n v="57"/>
    <s v="50+"/>
    <s v="Female"/>
    <s v="2024-01-04"/>
    <s v="2024-01-05"/>
    <n v="1"/>
    <x v="2"/>
    <x v="4"/>
    <x v="4"/>
    <s v="Dr. Rao"/>
    <n v="22571"/>
    <n v="7580"/>
    <n v="3167"/>
    <n v="33318"/>
    <x v="1"/>
    <s v="N/A"/>
  </r>
  <r>
    <n v="1064"/>
    <s v="Suresh Verma"/>
    <n v="36"/>
    <s v="35-49"/>
    <s v="Female"/>
    <s v="2024-04-22"/>
    <s v="2024-04-23"/>
    <n v="1"/>
    <x v="4"/>
    <x v="3"/>
    <x v="3"/>
    <s v="Dr. Singh"/>
    <n v="17097"/>
    <n v="2642"/>
    <n v="6038"/>
    <n v="25777"/>
    <x v="3"/>
    <s v="ICICI Lombard"/>
  </r>
  <r>
    <n v="1065"/>
    <s v="Deepak Iyer"/>
    <n v="47"/>
    <s v="35-49"/>
    <s v="Male"/>
    <s v="2024-01-31"/>
    <s v="2024-02-05"/>
    <n v="5"/>
    <x v="2"/>
    <x v="4"/>
    <x v="4"/>
    <s v="Dr. Rao"/>
    <n v="18251"/>
    <n v="5948"/>
    <n v="6726"/>
    <n v="30925"/>
    <x v="0"/>
    <s v="N/A"/>
  </r>
  <r>
    <n v="1066"/>
    <s v="Rahul Kumar"/>
    <n v="52"/>
    <s v="50+"/>
    <s v="Male"/>
    <s v="2024-03-30"/>
    <s v="2024-04-02"/>
    <n v="3"/>
    <x v="0"/>
    <x v="0"/>
    <x v="0"/>
    <s v="Dr. Mehta"/>
    <n v="6300"/>
    <n v="2423"/>
    <n v="8390"/>
    <n v="17113"/>
    <x v="3"/>
    <s v="HDFC Ergo"/>
  </r>
  <r>
    <n v="1067"/>
    <s v="Meera Yadav"/>
    <n v="32"/>
    <s v="25-34"/>
    <s v="Male"/>
    <s v="2024-03-26"/>
    <s v="2024-04-05"/>
    <n v="10"/>
    <x v="0"/>
    <x v="2"/>
    <x v="2"/>
    <s v="Dr. Khanna"/>
    <n v="11376"/>
    <n v="6511"/>
    <n v="3787"/>
    <n v="21674"/>
    <x v="1"/>
    <s v="N/A"/>
  </r>
  <r>
    <n v="1068"/>
    <s v="Kiran Verma"/>
    <n v="24"/>
    <s v="18-24"/>
    <s v="Male"/>
    <s v="2024-03-04"/>
    <s v="2024-03-05"/>
    <n v="1"/>
    <x v="0"/>
    <x v="1"/>
    <x v="1"/>
    <s v="Dr. Nair"/>
    <n v="10581"/>
    <n v="3512"/>
    <n v="6612"/>
    <n v="20705"/>
    <x v="3"/>
    <s v="ICICI Lombard"/>
  </r>
  <r>
    <n v="1069"/>
    <s v="Amit Yadav"/>
    <n v="25"/>
    <s v="25-34"/>
    <s v="Female"/>
    <s v="2024-02-28"/>
    <s v="2024-03-04"/>
    <n v="5"/>
    <x v="1"/>
    <x v="4"/>
    <x v="4"/>
    <s v="Dr. Rao"/>
    <n v="24340"/>
    <n v="4804"/>
    <n v="7077"/>
    <n v="36221"/>
    <x v="0"/>
    <s v="N/A"/>
  </r>
  <r>
    <n v="1070"/>
    <s v="Ankit Das"/>
    <n v="59"/>
    <s v="50+"/>
    <s v="Male"/>
    <s v="2024-02-22"/>
    <s v="2024-02-25"/>
    <n v="3"/>
    <x v="1"/>
    <x v="1"/>
    <x v="1"/>
    <s v="Dr. Nair"/>
    <n v="9734"/>
    <n v="3734"/>
    <n v="5502"/>
    <n v="18970"/>
    <x v="0"/>
    <s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5CD98F-7307-432C-9209-A13E04BB466B}" name="PivotTable7" cacheId="4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44:B49"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Patient" fld="1" baseField="0" baseItem="0"/>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Sum of Patient"/>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spital Management Repor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3A34E1-B978-4616-860B-FF01C6B126ED}" name="PivotTable6" cacheId="4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4:B40"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Average of Length_of_Stay_Days" fld="1" baseField="0" baseItem="0"/>
  </dataFields>
  <chartFormats count="12">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 format="10">
      <pivotArea type="data" outline="0" fieldPosition="0">
        <references count="2">
          <reference field="4294967294" count="1" selected="0">
            <x v="0"/>
          </reference>
          <reference field="0" count="1" selected="0">
            <x v="2"/>
          </reference>
        </references>
      </pivotArea>
    </chartFormat>
    <chartFormat chart="2" format="11">
      <pivotArea type="data" outline="0" fieldPosition="0">
        <references count="2">
          <reference field="4294967294" count="1" selected="0">
            <x v="0"/>
          </reference>
          <reference field="0" count="1" selected="0">
            <x v="3"/>
          </reference>
        </references>
      </pivotArea>
    </chartFormat>
    <chartFormat chart="2" format="12">
      <pivotArea type="data" outline="0" fieldPosition="0">
        <references count="2">
          <reference field="4294967294" count="1" selected="0">
            <x v="0"/>
          </reference>
          <reference field="0" count="1" selected="0">
            <x v="4"/>
          </reference>
        </references>
      </pivotArea>
    </chartFormat>
    <chartFormat chart="4" format="19" series="1">
      <pivotArea type="data" outline="0" fieldPosition="0">
        <references count="1">
          <reference field="4294967294" count="1" selected="0">
            <x v="0"/>
          </reference>
        </references>
      </pivotArea>
    </chartFormat>
    <chartFormat chart="4" format="20">
      <pivotArea type="data" outline="0" fieldPosition="0">
        <references count="2">
          <reference field="4294967294" count="1" selected="0">
            <x v="0"/>
          </reference>
          <reference field="0" count="1" selected="0">
            <x v="0"/>
          </reference>
        </references>
      </pivotArea>
    </chartFormat>
    <chartFormat chart="4" format="21">
      <pivotArea type="data" outline="0" fieldPosition="0">
        <references count="2">
          <reference field="4294967294" count="1" selected="0">
            <x v="0"/>
          </reference>
          <reference field="0" count="1" selected="0">
            <x v="1"/>
          </reference>
        </references>
      </pivotArea>
    </chartFormat>
    <chartFormat chart="4" format="22">
      <pivotArea type="data" outline="0" fieldPosition="0">
        <references count="2">
          <reference field="4294967294" count="1" selected="0">
            <x v="0"/>
          </reference>
          <reference field="0" count="1" selected="0">
            <x v="2"/>
          </reference>
        </references>
      </pivotArea>
    </chartFormat>
    <chartFormat chart="4" format="23">
      <pivotArea type="data" outline="0" fieldPosition="0">
        <references count="2">
          <reference field="4294967294" count="1" selected="0">
            <x v="0"/>
          </reference>
          <reference field="0" count="1" selected="0">
            <x v="3"/>
          </reference>
        </references>
      </pivotArea>
    </chartFormat>
    <chartFormat chart="4" format="24">
      <pivotArea type="data" outline="0" fieldPosition="0">
        <references count="2">
          <reference field="4294967294" count="1" selected="0">
            <x v="0"/>
          </reference>
          <reference field="0" count="1" selected="0">
            <x v="4"/>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Length_of_Stay_Days"/>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spital Management Repor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0A2902-1E4B-4FAD-A96A-DFD569C732A5}" name="PivotTable3" cacheId="4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5">
  <location ref="A24:B30"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Total Revenue" fld="1" baseField="0"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Revenue"/>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spital Management Repor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DAE9D4-A200-4E01-83A8-9F891E931D53}" name="PivotTable2" cacheId="5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3:B19" firstHeaderRow="1" firstDataRow="1" firstDataCol="1"/>
  <pivotFields count="18">
    <pivotField dataField="1" showAll="0"/>
    <pivotField showAll="0"/>
    <pivotField showAll="0"/>
    <pivotField showAll="0"/>
    <pivotField showAll="0"/>
    <pivotField showAll="0"/>
    <pivotField showAll="0"/>
    <pivotField showAll="0"/>
    <pivotField axis="axisRow" showAll="0" nonAutoSortDefault="1">
      <items count="6">
        <item x="2"/>
        <item x="1"/>
        <item x="0"/>
        <item x="4"/>
        <item x="3"/>
        <item t="default"/>
      </items>
    </pivotField>
    <pivotField showAll="0"/>
    <pivotField showAll="0"/>
    <pivotField showAll="0"/>
    <pivotField showAll="0"/>
    <pivotField showAll="0"/>
    <pivotField showAll="0"/>
    <pivotField showAll="0"/>
    <pivotField showAll="0"/>
    <pivotField showAll="0"/>
  </pivotFields>
  <rowFields count="1">
    <field x="8"/>
  </rowFields>
  <rowItems count="6">
    <i>
      <x/>
    </i>
    <i>
      <x v="1"/>
    </i>
    <i>
      <x v="2"/>
    </i>
    <i>
      <x v="3"/>
    </i>
    <i>
      <x v="4"/>
    </i>
    <i t="grand">
      <x/>
    </i>
  </rowItems>
  <colItems count="1">
    <i/>
  </colItems>
  <dataFields count="1">
    <dataField name="Count of Patient" fld="0" baseField="0"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FCC6CE-1EC1-416C-99ED-4590A1B897EB}" name="PivotTable1" cacheId="5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A3:B9" firstHeaderRow="1" firstDataRow="1" firstDataCol="1"/>
  <pivotFields count="18">
    <pivotField dataField="1" showAll="0"/>
    <pivotField showAll="0"/>
    <pivotField showAll="0"/>
    <pivotField showAll="0"/>
    <pivotField showAll="0"/>
    <pivotField showAll="0"/>
    <pivotField showAll="0"/>
    <pivotField showAll="0"/>
    <pivotField showAll="0">
      <items count="6">
        <item x="2"/>
        <item x="1"/>
        <item x="0"/>
        <item x="4"/>
        <item x="3"/>
        <item t="default"/>
      </items>
    </pivotField>
    <pivotField showAll="0">
      <items count="6">
        <item x="0"/>
        <item x="2"/>
        <item x="1"/>
        <item x="3"/>
        <item x="4"/>
        <item t="default"/>
      </items>
    </pivotField>
    <pivotField axis="axisRow" showAll="0">
      <items count="6">
        <item x="0"/>
        <item x="2"/>
        <item x="1"/>
        <item x="3"/>
        <item x="4"/>
        <item t="default"/>
      </items>
    </pivotField>
    <pivotField showAll="0"/>
    <pivotField showAll="0"/>
    <pivotField showAll="0"/>
    <pivotField showAll="0"/>
    <pivotField showAll="0"/>
    <pivotField showAll="0">
      <items count="5">
        <item h="1" x="0"/>
        <item x="2"/>
        <item h="1" x="3"/>
        <item h="1" x="1"/>
        <item t="default"/>
      </items>
    </pivotField>
    <pivotField showAll="0"/>
  </pivotFields>
  <rowFields count="1">
    <field x="10"/>
  </rowFields>
  <rowItems count="6">
    <i>
      <x/>
    </i>
    <i>
      <x v="1"/>
    </i>
    <i>
      <x v="2"/>
    </i>
    <i>
      <x v="3"/>
    </i>
    <i>
      <x v="4"/>
    </i>
    <i t="grand">
      <x/>
    </i>
  </rowItems>
  <colItems count="1">
    <i/>
  </colItems>
  <dataFields count="1">
    <dataField name="Total Patients" fld="0" baseField="0" baseItem="0"/>
  </dataFields>
  <chartFormats count="7">
    <chartFormat chart="13" format="2"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0"/>
          </reference>
        </references>
      </pivotArea>
    </chartFormat>
    <chartFormat chart="15" format="10">
      <pivotArea type="data" outline="0" fieldPosition="0">
        <references count="2">
          <reference field="4294967294" count="1" selected="0">
            <x v="0"/>
          </reference>
          <reference field="10" count="1" selected="0">
            <x v="0"/>
          </reference>
        </references>
      </pivotArea>
    </chartFormat>
    <chartFormat chart="15" format="11">
      <pivotArea type="data" outline="0" fieldPosition="0">
        <references count="2">
          <reference field="4294967294" count="1" selected="0">
            <x v="0"/>
          </reference>
          <reference field="10" count="1" selected="0">
            <x v="1"/>
          </reference>
        </references>
      </pivotArea>
    </chartFormat>
    <chartFormat chart="15" format="12">
      <pivotArea type="data" outline="0" fieldPosition="0">
        <references count="2">
          <reference field="4294967294" count="1" selected="0">
            <x v="0"/>
          </reference>
          <reference field="10" count="1" selected="0">
            <x v="2"/>
          </reference>
        </references>
      </pivotArea>
    </chartFormat>
    <chartFormat chart="15" format="13">
      <pivotArea type="data" outline="0" fieldPosition="0">
        <references count="2">
          <reference field="4294967294" count="1" selected="0">
            <x v="0"/>
          </reference>
          <reference field="10" count="1" selected="0">
            <x v="3"/>
          </reference>
        </references>
      </pivotArea>
    </chartFormat>
    <chartFormat chart="15" format="14">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Month" xr10:uid="{25C84596-2BF5-44F1-8695-BC03C03C6289}" sourceName="Admission_Month">
  <pivotTables>
    <pivotTable tabId="4" name="PivotTable1"/>
  </pivotTables>
  <data>
    <tabular pivotCacheId="290217972">
      <items count="5">
        <i x="2" s="1"/>
        <i x="1" s="1"/>
        <i x="0"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Cleaned" xr10:uid="{091C57EA-7B60-4F19-BB79-FD94B52C4185}" sourceName="Department_Cleaned">
  <pivotTables>
    <pivotTable tabId="4" name="PivotTable1"/>
  </pivotTables>
  <data>
    <tabular pivotCacheId="290217972">
      <items count="5">
        <i x="0" s="1"/>
        <i x="2"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49A6339D-F559-4977-9777-902331DC8AEF}" sourceName="Payment_Mode">
  <pivotTables>
    <pivotTable tabId="4" name="PivotTable1"/>
  </pivotTables>
  <data>
    <tabular pivotCacheId="290217972">
      <items count="4">
        <i x="0"/>
        <i x="2" s="1"/>
        <i x="3"/>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dmission_Month 1" xr10:uid="{18993308-8602-424D-A975-E55E9C9CDF4C}" cache="Slicer_Admission_Month" caption="Admission_Month" rowHeight="241300"/>
  <slicer name="Department_Cleaned 1" xr10:uid="{820E94C4-A0CF-4F68-A87A-37CCB6741225}" cache="Slicer_Department_Cleaned" caption="Department_Cleaned" rowHeight="241300"/>
  <slicer name="Payment_Mode 1" xr10:uid="{D42AE96A-5D7F-46B1-8E2D-57716892F022}" cache="Slicer_Payment_Mode" caption="Payment_Mod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40FD0E-79BF-4D13-A1FC-1EB4A19E6550}" name="Table1" displayName="Table1" ref="A1:R71" totalsRowShown="0">
  <autoFilter ref="A1:R71" xr:uid="{6840FD0E-79BF-4D13-A1FC-1EB4A19E6550}"/>
  <tableColumns count="18">
    <tableColumn id="1" xr3:uid="{45623C4E-7667-470D-951E-DFFEFF6AC6CD}" name="Patient_ID" dataDxfId="8"/>
    <tableColumn id="2" xr3:uid="{254D3AAD-135B-4B5B-A2A2-E742E43C44D4}" name="Patient_Name"/>
    <tableColumn id="3" xr3:uid="{F73977C0-863A-414B-BAAE-88657EAEE8BE}" name="Age" dataDxfId="7"/>
    <tableColumn id="4" xr3:uid="{3882592B-E4BF-4AD4-BA5F-1F15648E6BC8}" name="Age_Group" dataDxfId="6"/>
    <tableColumn id="5" xr3:uid="{0ABFEA6C-0561-4BBF-A697-809EC0E0AB53}" name="Gender"/>
    <tableColumn id="6" xr3:uid="{D35BBA98-28F6-4E57-AD7F-F4F02078A6C9}" name="Admission_Date"/>
    <tableColumn id="7" xr3:uid="{1F0C0789-3FA8-4AA0-873D-EE6E7A1FABA0}" name="Discharge_Date"/>
    <tableColumn id="8" xr3:uid="{85AC140A-DB44-44EE-B064-65253F32FDF9}" name="Length_of_Stay_Days" dataDxfId="5"/>
    <tableColumn id="9" xr3:uid="{2C7092A8-56E1-489F-9F02-DD3ACF2C9A4A}" name="Admission_Month"/>
    <tableColumn id="19" xr3:uid="{08D56679-BE0D-4A40-9146-4FC38652764C}" name="Department_Cleaned" dataDxfId="4">
      <calculatedColumnFormula>TRIM(PROPER(Table1[[#This Row],[Department ]]))</calculatedColumnFormula>
    </tableColumn>
    <tableColumn id="10" xr3:uid="{569A602A-BF03-490B-B641-0BAF6C65FF31}" name="Department "/>
    <tableColumn id="11" xr3:uid="{17582949-BC51-4C22-A2CF-74E21FCC8E41}" name="Doctor_Name"/>
    <tableColumn id="12" xr3:uid="{FB90C84C-D1DA-42D0-8648-261E95B52D1D}" name="Room_Charges" dataDxfId="3"/>
    <tableColumn id="13" xr3:uid="{4D9647B7-F5B8-4835-A354-1878F62E1789}" name="Lab_Charges" dataDxfId="2"/>
    <tableColumn id="14" xr3:uid="{71081AF9-FBFD-4217-A5BD-09C5073471D7}" name="Medicine_Charges" dataDxfId="1"/>
    <tableColumn id="15" xr3:uid="{9EC900AD-DB1B-4ABD-B838-A1F4A38B76BC}" name="Total_Bill" dataDxfId="0"/>
    <tableColumn id="16" xr3:uid="{0F878634-90DF-49FF-8A38-F8A646F8FE3A}" name="Payment_Mode"/>
    <tableColumn id="17" xr3:uid="{4E6FAC87-ED42-4FB2-9CCC-F654EC9BF236}" name="Insurance_Provider"/>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A1D68-3291-45E4-8221-76D04BA745DB}">
  <dimension ref="A1:Q71"/>
  <sheetViews>
    <sheetView workbookViewId="0">
      <selection activeCell="J11" sqref="J11"/>
    </sheetView>
  </sheetViews>
  <sheetFormatPr defaultRowHeight="14.5" x14ac:dyDescent="0.35"/>
  <sheetData>
    <row r="1" spans="1:1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5">
      <c r="A2">
        <v>1001</v>
      </c>
      <c r="B2" t="s">
        <v>17</v>
      </c>
      <c r="C2">
        <v>49</v>
      </c>
      <c r="D2" t="s">
        <v>18</v>
      </c>
      <c r="E2" t="s">
        <v>19</v>
      </c>
      <c r="F2" t="s">
        <v>20</v>
      </c>
      <c r="G2" t="s">
        <v>21</v>
      </c>
      <c r="H2">
        <v>2</v>
      </c>
      <c r="I2" t="s">
        <v>22</v>
      </c>
      <c r="J2" t="s">
        <v>23</v>
      </c>
      <c r="K2" t="s">
        <v>24</v>
      </c>
      <c r="L2">
        <v>18720</v>
      </c>
      <c r="M2">
        <v>4058</v>
      </c>
      <c r="N2">
        <v>5079</v>
      </c>
      <c r="O2">
        <v>27857</v>
      </c>
      <c r="P2" t="s">
        <v>25</v>
      </c>
      <c r="Q2" t="s">
        <v>26</v>
      </c>
    </row>
    <row r="3" spans="1:17" x14ac:dyDescent="0.35">
      <c r="A3">
        <v>1002</v>
      </c>
      <c r="B3" t="s">
        <v>27</v>
      </c>
      <c r="C3">
        <v>60</v>
      </c>
      <c r="D3" t="s">
        <v>28</v>
      </c>
      <c r="E3" t="s">
        <v>19</v>
      </c>
      <c r="F3" t="s">
        <v>29</v>
      </c>
      <c r="G3" t="s">
        <v>30</v>
      </c>
      <c r="H3">
        <v>8</v>
      </c>
      <c r="I3" t="s">
        <v>31</v>
      </c>
      <c r="J3" t="s">
        <v>32</v>
      </c>
      <c r="K3" t="s">
        <v>33</v>
      </c>
      <c r="L3">
        <v>20303</v>
      </c>
      <c r="M3">
        <v>3591</v>
      </c>
      <c r="N3">
        <v>6340</v>
      </c>
      <c r="O3">
        <v>30234</v>
      </c>
      <c r="P3" t="s">
        <v>34</v>
      </c>
      <c r="Q3" t="s">
        <v>26</v>
      </c>
    </row>
    <row r="4" spans="1:17" x14ac:dyDescent="0.35">
      <c r="A4">
        <v>1003</v>
      </c>
      <c r="B4" t="s">
        <v>35</v>
      </c>
      <c r="C4">
        <v>43</v>
      </c>
      <c r="D4" t="s">
        <v>18</v>
      </c>
      <c r="E4" t="s">
        <v>36</v>
      </c>
      <c r="F4" t="s">
        <v>37</v>
      </c>
      <c r="G4" t="s">
        <v>38</v>
      </c>
      <c r="H4">
        <v>5</v>
      </c>
      <c r="I4" t="s">
        <v>39</v>
      </c>
      <c r="J4" t="s">
        <v>40</v>
      </c>
      <c r="K4" t="s">
        <v>41</v>
      </c>
      <c r="L4">
        <v>16184</v>
      </c>
      <c r="M4">
        <v>3583</v>
      </c>
      <c r="N4">
        <v>5990</v>
      </c>
      <c r="O4">
        <v>25757</v>
      </c>
      <c r="P4" t="s">
        <v>25</v>
      </c>
      <c r="Q4" t="s">
        <v>26</v>
      </c>
    </row>
    <row r="5" spans="1:17" x14ac:dyDescent="0.35">
      <c r="A5">
        <v>1004</v>
      </c>
      <c r="B5" t="s">
        <v>42</v>
      </c>
      <c r="C5">
        <v>18</v>
      </c>
      <c r="D5" t="s">
        <v>43</v>
      </c>
      <c r="E5" t="s">
        <v>19</v>
      </c>
      <c r="F5" t="s">
        <v>38</v>
      </c>
      <c r="G5" t="s">
        <v>44</v>
      </c>
      <c r="H5">
        <v>3</v>
      </c>
      <c r="I5" t="s">
        <v>39</v>
      </c>
      <c r="J5" t="s">
        <v>32</v>
      </c>
      <c r="K5" t="s">
        <v>33</v>
      </c>
      <c r="L5">
        <v>19302</v>
      </c>
      <c r="M5">
        <v>5016</v>
      </c>
      <c r="N5">
        <v>5844</v>
      </c>
      <c r="O5">
        <v>30162</v>
      </c>
      <c r="P5" t="s">
        <v>34</v>
      </c>
      <c r="Q5" t="s">
        <v>26</v>
      </c>
    </row>
    <row r="6" spans="1:17" x14ac:dyDescent="0.35">
      <c r="A6">
        <v>1005</v>
      </c>
      <c r="B6" t="s">
        <v>45</v>
      </c>
      <c r="C6">
        <v>62</v>
      </c>
      <c r="D6" t="s">
        <v>28</v>
      </c>
      <c r="E6" t="s">
        <v>19</v>
      </c>
      <c r="F6" t="s">
        <v>46</v>
      </c>
      <c r="G6" t="s">
        <v>47</v>
      </c>
      <c r="H6">
        <v>9</v>
      </c>
      <c r="I6" t="s">
        <v>22</v>
      </c>
      <c r="J6" t="s">
        <v>48</v>
      </c>
      <c r="K6" t="s">
        <v>49</v>
      </c>
      <c r="L6">
        <v>16626</v>
      </c>
      <c r="M6">
        <v>3167</v>
      </c>
      <c r="N6">
        <v>6486</v>
      </c>
      <c r="O6">
        <v>26279</v>
      </c>
      <c r="P6" t="s">
        <v>50</v>
      </c>
      <c r="Q6" t="s">
        <v>26</v>
      </c>
    </row>
    <row r="7" spans="1:17" x14ac:dyDescent="0.35">
      <c r="A7">
        <v>1006</v>
      </c>
      <c r="B7" t="s">
        <v>51</v>
      </c>
      <c r="C7">
        <v>25</v>
      </c>
      <c r="D7" t="s">
        <v>52</v>
      </c>
      <c r="E7" t="s">
        <v>36</v>
      </c>
      <c r="F7" t="s">
        <v>53</v>
      </c>
      <c r="G7" t="s">
        <v>54</v>
      </c>
      <c r="H7">
        <v>5</v>
      </c>
      <c r="I7" t="s">
        <v>39</v>
      </c>
      <c r="J7" t="s">
        <v>23</v>
      </c>
      <c r="K7" t="s">
        <v>24</v>
      </c>
      <c r="L7">
        <v>15445</v>
      </c>
      <c r="M7">
        <v>6615</v>
      </c>
      <c r="N7">
        <v>4029</v>
      </c>
      <c r="O7">
        <v>26089</v>
      </c>
      <c r="P7" t="s">
        <v>50</v>
      </c>
      <c r="Q7" t="s">
        <v>26</v>
      </c>
    </row>
    <row r="8" spans="1:17" x14ac:dyDescent="0.35">
      <c r="A8">
        <v>1007</v>
      </c>
      <c r="B8" t="s">
        <v>55</v>
      </c>
      <c r="C8">
        <v>61</v>
      </c>
      <c r="D8" t="s">
        <v>28</v>
      </c>
      <c r="E8" t="s">
        <v>36</v>
      </c>
      <c r="F8" t="s">
        <v>56</v>
      </c>
      <c r="G8" t="s">
        <v>57</v>
      </c>
      <c r="H8">
        <v>2</v>
      </c>
      <c r="I8" t="s">
        <v>39</v>
      </c>
      <c r="J8" t="s">
        <v>48</v>
      </c>
      <c r="K8" t="s">
        <v>49</v>
      </c>
      <c r="L8">
        <v>23259</v>
      </c>
      <c r="M8">
        <v>5742</v>
      </c>
      <c r="N8">
        <v>4617</v>
      </c>
      <c r="O8">
        <v>33618</v>
      </c>
      <c r="P8" t="s">
        <v>34</v>
      </c>
      <c r="Q8" t="s">
        <v>26</v>
      </c>
    </row>
    <row r="9" spans="1:17" x14ac:dyDescent="0.35">
      <c r="A9">
        <v>1008</v>
      </c>
      <c r="B9" t="s">
        <v>58</v>
      </c>
      <c r="C9">
        <v>57</v>
      </c>
      <c r="D9" t="s">
        <v>28</v>
      </c>
      <c r="E9" t="s">
        <v>19</v>
      </c>
      <c r="F9" t="s">
        <v>59</v>
      </c>
      <c r="G9" t="s">
        <v>60</v>
      </c>
      <c r="H9">
        <v>9</v>
      </c>
      <c r="I9" t="s">
        <v>61</v>
      </c>
      <c r="J9" t="s">
        <v>23</v>
      </c>
      <c r="K9" t="s">
        <v>24</v>
      </c>
      <c r="L9">
        <v>10444</v>
      </c>
      <c r="M9">
        <v>2833</v>
      </c>
      <c r="N9">
        <v>3640</v>
      </c>
      <c r="O9">
        <v>16917</v>
      </c>
      <c r="P9" t="s">
        <v>50</v>
      </c>
      <c r="Q9" t="s">
        <v>26</v>
      </c>
    </row>
    <row r="10" spans="1:17" x14ac:dyDescent="0.35">
      <c r="A10">
        <v>1009</v>
      </c>
      <c r="B10" t="s">
        <v>62</v>
      </c>
      <c r="C10">
        <v>53</v>
      </c>
      <c r="D10" t="s">
        <v>28</v>
      </c>
      <c r="E10" t="s">
        <v>19</v>
      </c>
      <c r="F10" t="s">
        <v>63</v>
      </c>
      <c r="G10" t="s">
        <v>64</v>
      </c>
      <c r="H10">
        <v>1</v>
      </c>
      <c r="I10" t="s">
        <v>65</v>
      </c>
      <c r="J10" t="s">
        <v>48</v>
      </c>
      <c r="K10" t="s">
        <v>49</v>
      </c>
      <c r="L10">
        <v>13171</v>
      </c>
      <c r="M10">
        <v>3455</v>
      </c>
      <c r="N10">
        <v>6147</v>
      </c>
      <c r="O10">
        <v>22773</v>
      </c>
      <c r="P10" t="s">
        <v>34</v>
      </c>
      <c r="Q10" t="s">
        <v>26</v>
      </c>
    </row>
    <row r="11" spans="1:17" x14ac:dyDescent="0.35">
      <c r="A11">
        <v>1010</v>
      </c>
      <c r="B11" t="s">
        <v>66</v>
      </c>
      <c r="C11">
        <v>34</v>
      </c>
      <c r="D11" t="s">
        <v>52</v>
      </c>
      <c r="E11" t="s">
        <v>19</v>
      </c>
      <c r="F11" t="s">
        <v>67</v>
      </c>
      <c r="G11" t="s">
        <v>68</v>
      </c>
      <c r="H11">
        <v>6</v>
      </c>
      <c r="I11" t="s">
        <v>31</v>
      </c>
      <c r="J11" t="s">
        <v>40</v>
      </c>
      <c r="K11" t="s">
        <v>41</v>
      </c>
      <c r="L11">
        <v>8234</v>
      </c>
      <c r="M11">
        <v>3258</v>
      </c>
      <c r="N11">
        <v>6511</v>
      </c>
      <c r="O11">
        <v>18003</v>
      </c>
      <c r="P11" t="s">
        <v>69</v>
      </c>
      <c r="Q11" t="s">
        <v>70</v>
      </c>
    </row>
    <row r="12" spans="1:17" x14ac:dyDescent="0.35">
      <c r="A12">
        <v>1011</v>
      </c>
      <c r="B12" t="s">
        <v>71</v>
      </c>
      <c r="C12">
        <v>54</v>
      </c>
      <c r="D12" t="s">
        <v>28</v>
      </c>
      <c r="E12" t="s">
        <v>36</v>
      </c>
      <c r="F12" t="s">
        <v>72</v>
      </c>
      <c r="G12" t="s">
        <v>73</v>
      </c>
      <c r="H12">
        <v>4</v>
      </c>
      <c r="I12" t="s">
        <v>31</v>
      </c>
      <c r="J12" t="s">
        <v>40</v>
      </c>
      <c r="K12" t="s">
        <v>41</v>
      </c>
      <c r="L12">
        <v>16401</v>
      </c>
      <c r="M12">
        <v>3310</v>
      </c>
      <c r="N12">
        <v>3796</v>
      </c>
      <c r="O12">
        <v>23507</v>
      </c>
      <c r="P12" t="s">
        <v>69</v>
      </c>
      <c r="Q12" t="s">
        <v>74</v>
      </c>
    </row>
    <row r="13" spans="1:17" x14ac:dyDescent="0.35">
      <c r="A13">
        <v>1012</v>
      </c>
      <c r="B13" t="s">
        <v>75</v>
      </c>
      <c r="C13">
        <v>54</v>
      </c>
      <c r="D13" t="s">
        <v>28</v>
      </c>
      <c r="E13" t="s">
        <v>19</v>
      </c>
      <c r="F13" t="s">
        <v>76</v>
      </c>
      <c r="G13" t="s">
        <v>21</v>
      </c>
      <c r="H13">
        <v>9</v>
      </c>
      <c r="I13" t="s">
        <v>22</v>
      </c>
      <c r="J13" t="s">
        <v>32</v>
      </c>
      <c r="K13" t="s">
        <v>33</v>
      </c>
      <c r="L13">
        <v>24266</v>
      </c>
      <c r="M13">
        <v>4765</v>
      </c>
      <c r="N13">
        <v>4379</v>
      </c>
      <c r="O13">
        <v>33410</v>
      </c>
      <c r="P13" t="s">
        <v>34</v>
      </c>
      <c r="Q13" t="s">
        <v>26</v>
      </c>
    </row>
    <row r="14" spans="1:17" x14ac:dyDescent="0.35">
      <c r="A14">
        <v>1013</v>
      </c>
      <c r="B14" t="s">
        <v>77</v>
      </c>
      <c r="C14">
        <v>69</v>
      </c>
      <c r="D14" t="s">
        <v>28</v>
      </c>
      <c r="E14" t="s">
        <v>36</v>
      </c>
      <c r="F14" t="s">
        <v>78</v>
      </c>
      <c r="G14" t="s">
        <v>76</v>
      </c>
      <c r="H14">
        <v>3</v>
      </c>
      <c r="I14" t="s">
        <v>22</v>
      </c>
      <c r="J14" t="s">
        <v>79</v>
      </c>
      <c r="K14" t="s">
        <v>80</v>
      </c>
      <c r="L14">
        <v>23272</v>
      </c>
      <c r="M14">
        <v>2125</v>
      </c>
      <c r="N14">
        <v>3984</v>
      </c>
      <c r="O14">
        <v>29381</v>
      </c>
      <c r="P14" t="s">
        <v>34</v>
      </c>
      <c r="Q14" t="s">
        <v>26</v>
      </c>
    </row>
    <row r="15" spans="1:17" x14ac:dyDescent="0.35">
      <c r="A15">
        <v>1014</v>
      </c>
      <c r="B15" t="s">
        <v>81</v>
      </c>
      <c r="C15">
        <v>35</v>
      </c>
      <c r="D15" t="s">
        <v>18</v>
      </c>
      <c r="E15" t="s">
        <v>36</v>
      </c>
      <c r="F15" t="s">
        <v>82</v>
      </c>
      <c r="G15" t="s">
        <v>83</v>
      </c>
      <c r="H15">
        <v>9</v>
      </c>
      <c r="I15" t="s">
        <v>31</v>
      </c>
      <c r="J15" t="s">
        <v>79</v>
      </c>
      <c r="K15" t="s">
        <v>80</v>
      </c>
      <c r="L15">
        <v>18659</v>
      </c>
      <c r="M15">
        <v>7183</v>
      </c>
      <c r="N15">
        <v>4835</v>
      </c>
      <c r="O15">
        <v>30677</v>
      </c>
      <c r="P15" t="s">
        <v>50</v>
      </c>
      <c r="Q15" t="s">
        <v>26</v>
      </c>
    </row>
    <row r="16" spans="1:17" x14ac:dyDescent="0.35">
      <c r="A16">
        <v>1015</v>
      </c>
      <c r="B16" t="s">
        <v>84</v>
      </c>
      <c r="C16">
        <v>69</v>
      </c>
      <c r="D16" t="s">
        <v>28</v>
      </c>
      <c r="E16" t="s">
        <v>19</v>
      </c>
      <c r="F16" t="s">
        <v>67</v>
      </c>
      <c r="G16" t="s">
        <v>83</v>
      </c>
      <c r="H16">
        <v>7</v>
      </c>
      <c r="I16" t="s">
        <v>31</v>
      </c>
      <c r="J16" t="s">
        <v>79</v>
      </c>
      <c r="K16" t="s">
        <v>80</v>
      </c>
      <c r="L16">
        <v>21178</v>
      </c>
      <c r="M16">
        <v>3331</v>
      </c>
      <c r="N16">
        <v>3606</v>
      </c>
      <c r="O16">
        <v>28115</v>
      </c>
      <c r="P16" t="s">
        <v>34</v>
      </c>
      <c r="Q16" t="s">
        <v>26</v>
      </c>
    </row>
    <row r="17" spans="1:17" x14ac:dyDescent="0.35">
      <c r="A17">
        <v>1016</v>
      </c>
      <c r="B17" t="s">
        <v>85</v>
      </c>
      <c r="C17">
        <v>52</v>
      </c>
      <c r="D17" t="s">
        <v>28</v>
      </c>
      <c r="E17" t="s">
        <v>19</v>
      </c>
      <c r="F17" t="s">
        <v>86</v>
      </c>
      <c r="G17" t="s">
        <v>87</v>
      </c>
      <c r="H17">
        <v>7</v>
      </c>
      <c r="I17" t="s">
        <v>61</v>
      </c>
      <c r="J17" t="s">
        <v>79</v>
      </c>
      <c r="K17" t="s">
        <v>80</v>
      </c>
      <c r="L17">
        <v>16258</v>
      </c>
      <c r="M17">
        <v>6058</v>
      </c>
      <c r="N17">
        <v>6287</v>
      </c>
      <c r="O17">
        <v>28603</v>
      </c>
      <c r="P17" t="s">
        <v>25</v>
      </c>
      <c r="Q17" t="s">
        <v>26</v>
      </c>
    </row>
    <row r="18" spans="1:17" x14ac:dyDescent="0.35">
      <c r="A18">
        <v>1017</v>
      </c>
      <c r="B18" t="s">
        <v>88</v>
      </c>
      <c r="C18">
        <v>62</v>
      </c>
      <c r="D18" t="s">
        <v>28</v>
      </c>
      <c r="E18" t="s">
        <v>36</v>
      </c>
      <c r="F18" t="s">
        <v>67</v>
      </c>
      <c r="G18" t="s">
        <v>89</v>
      </c>
      <c r="H18">
        <v>3</v>
      </c>
      <c r="I18" t="s">
        <v>31</v>
      </c>
      <c r="J18" t="s">
        <v>23</v>
      </c>
      <c r="K18" t="s">
        <v>24</v>
      </c>
      <c r="L18">
        <v>10972</v>
      </c>
      <c r="M18">
        <v>3478</v>
      </c>
      <c r="N18">
        <v>7781</v>
      </c>
      <c r="O18">
        <v>22231</v>
      </c>
      <c r="P18" t="s">
        <v>69</v>
      </c>
      <c r="Q18" t="s">
        <v>70</v>
      </c>
    </row>
    <row r="19" spans="1:17" x14ac:dyDescent="0.35">
      <c r="A19">
        <v>1018</v>
      </c>
      <c r="B19" t="s">
        <v>90</v>
      </c>
      <c r="C19">
        <v>56</v>
      </c>
      <c r="D19" t="s">
        <v>28</v>
      </c>
      <c r="E19" t="s">
        <v>36</v>
      </c>
      <c r="F19" t="s">
        <v>91</v>
      </c>
      <c r="G19" t="s">
        <v>92</v>
      </c>
      <c r="H19">
        <v>7</v>
      </c>
      <c r="I19" t="s">
        <v>39</v>
      </c>
      <c r="J19" t="s">
        <v>48</v>
      </c>
      <c r="K19" t="s">
        <v>49</v>
      </c>
      <c r="L19">
        <v>7465</v>
      </c>
      <c r="M19">
        <v>5216</v>
      </c>
      <c r="N19">
        <v>6356</v>
      </c>
      <c r="O19">
        <v>19037</v>
      </c>
      <c r="P19" t="s">
        <v>25</v>
      </c>
      <c r="Q19" t="s">
        <v>26</v>
      </c>
    </row>
    <row r="20" spans="1:17" x14ac:dyDescent="0.35">
      <c r="A20">
        <v>1019</v>
      </c>
      <c r="B20" t="s">
        <v>93</v>
      </c>
      <c r="C20">
        <v>22</v>
      </c>
      <c r="D20" t="s">
        <v>43</v>
      </c>
      <c r="E20" t="s">
        <v>36</v>
      </c>
      <c r="F20" t="s">
        <v>46</v>
      </c>
      <c r="G20" t="s">
        <v>94</v>
      </c>
      <c r="H20">
        <v>2</v>
      </c>
      <c r="I20" t="s">
        <v>22</v>
      </c>
      <c r="J20" t="s">
        <v>40</v>
      </c>
      <c r="K20" t="s">
        <v>41</v>
      </c>
      <c r="L20">
        <v>9251</v>
      </c>
      <c r="M20">
        <v>7937</v>
      </c>
      <c r="N20">
        <v>7884</v>
      </c>
      <c r="O20">
        <v>25072</v>
      </c>
      <c r="P20" t="s">
        <v>25</v>
      </c>
      <c r="Q20" t="s">
        <v>26</v>
      </c>
    </row>
    <row r="21" spans="1:17" x14ac:dyDescent="0.35">
      <c r="A21">
        <v>1020</v>
      </c>
      <c r="B21" t="s">
        <v>95</v>
      </c>
      <c r="C21">
        <v>58</v>
      </c>
      <c r="D21" t="s">
        <v>28</v>
      </c>
      <c r="E21" t="s">
        <v>36</v>
      </c>
      <c r="F21" t="s">
        <v>96</v>
      </c>
      <c r="G21" t="s">
        <v>29</v>
      </c>
      <c r="H21">
        <v>5</v>
      </c>
      <c r="I21" t="s">
        <v>39</v>
      </c>
      <c r="J21" t="s">
        <v>32</v>
      </c>
      <c r="K21" t="s">
        <v>33</v>
      </c>
      <c r="L21">
        <v>8683</v>
      </c>
      <c r="M21">
        <v>6065</v>
      </c>
      <c r="N21">
        <v>4041</v>
      </c>
      <c r="O21">
        <v>18789</v>
      </c>
      <c r="P21" t="s">
        <v>50</v>
      </c>
      <c r="Q21" t="s">
        <v>26</v>
      </c>
    </row>
    <row r="22" spans="1:17" x14ac:dyDescent="0.35">
      <c r="A22">
        <v>1021</v>
      </c>
      <c r="B22" t="s">
        <v>97</v>
      </c>
      <c r="C22">
        <v>31</v>
      </c>
      <c r="D22" t="s">
        <v>52</v>
      </c>
      <c r="E22" t="s">
        <v>19</v>
      </c>
      <c r="F22" t="s">
        <v>98</v>
      </c>
      <c r="G22" t="s">
        <v>99</v>
      </c>
      <c r="H22">
        <v>4</v>
      </c>
      <c r="I22" t="s">
        <v>31</v>
      </c>
      <c r="J22" t="s">
        <v>40</v>
      </c>
      <c r="K22" t="s">
        <v>41</v>
      </c>
      <c r="L22">
        <v>19252</v>
      </c>
      <c r="M22">
        <v>6803</v>
      </c>
      <c r="N22">
        <v>4326</v>
      </c>
      <c r="O22">
        <v>30381</v>
      </c>
      <c r="P22" t="s">
        <v>50</v>
      </c>
      <c r="Q22" t="s">
        <v>26</v>
      </c>
    </row>
    <row r="23" spans="1:17" x14ac:dyDescent="0.35">
      <c r="A23">
        <v>1022</v>
      </c>
      <c r="B23" t="s">
        <v>100</v>
      </c>
      <c r="C23">
        <v>73</v>
      </c>
      <c r="D23" t="s">
        <v>28</v>
      </c>
      <c r="E23" t="s">
        <v>36</v>
      </c>
      <c r="F23" t="s">
        <v>101</v>
      </c>
      <c r="G23" t="s">
        <v>21</v>
      </c>
      <c r="H23">
        <v>3</v>
      </c>
      <c r="I23" t="s">
        <v>22</v>
      </c>
      <c r="J23" t="s">
        <v>32</v>
      </c>
      <c r="K23" t="s">
        <v>33</v>
      </c>
      <c r="L23">
        <v>19670</v>
      </c>
      <c r="M23">
        <v>7139</v>
      </c>
      <c r="N23">
        <v>4327</v>
      </c>
      <c r="O23">
        <v>31136</v>
      </c>
      <c r="P23" t="s">
        <v>50</v>
      </c>
      <c r="Q23" t="s">
        <v>26</v>
      </c>
    </row>
    <row r="24" spans="1:17" x14ac:dyDescent="0.35">
      <c r="A24">
        <v>1023</v>
      </c>
      <c r="B24" t="s">
        <v>102</v>
      </c>
      <c r="C24">
        <v>68</v>
      </c>
      <c r="D24" t="s">
        <v>28</v>
      </c>
      <c r="E24" t="s">
        <v>36</v>
      </c>
      <c r="F24" t="s">
        <v>30</v>
      </c>
      <c r="G24" t="s">
        <v>72</v>
      </c>
      <c r="H24">
        <v>8</v>
      </c>
      <c r="I24" t="s">
        <v>31</v>
      </c>
      <c r="J24" t="s">
        <v>79</v>
      </c>
      <c r="K24" t="s">
        <v>80</v>
      </c>
      <c r="L24">
        <v>21924</v>
      </c>
      <c r="M24">
        <v>7611</v>
      </c>
      <c r="N24">
        <v>3801</v>
      </c>
      <c r="O24">
        <v>33336</v>
      </c>
      <c r="P24" t="s">
        <v>25</v>
      </c>
      <c r="Q24" t="s">
        <v>26</v>
      </c>
    </row>
    <row r="25" spans="1:17" x14ac:dyDescent="0.35">
      <c r="A25">
        <v>1024</v>
      </c>
      <c r="B25" t="s">
        <v>103</v>
      </c>
      <c r="C25">
        <v>63</v>
      </c>
      <c r="D25" t="s">
        <v>28</v>
      </c>
      <c r="E25" t="s">
        <v>19</v>
      </c>
      <c r="F25" t="s">
        <v>21</v>
      </c>
      <c r="G25" t="s">
        <v>104</v>
      </c>
      <c r="H25">
        <v>4</v>
      </c>
      <c r="I25" t="s">
        <v>22</v>
      </c>
      <c r="J25" t="s">
        <v>79</v>
      </c>
      <c r="K25" t="s">
        <v>80</v>
      </c>
      <c r="L25">
        <v>7023</v>
      </c>
      <c r="M25">
        <v>3249</v>
      </c>
      <c r="N25">
        <v>8542</v>
      </c>
      <c r="O25">
        <v>18814</v>
      </c>
      <c r="P25" t="s">
        <v>34</v>
      </c>
      <c r="Q25" t="s">
        <v>26</v>
      </c>
    </row>
    <row r="26" spans="1:17" x14ac:dyDescent="0.35">
      <c r="A26">
        <v>1025</v>
      </c>
      <c r="B26" t="s">
        <v>105</v>
      </c>
      <c r="C26">
        <v>38</v>
      </c>
      <c r="D26" t="s">
        <v>18</v>
      </c>
      <c r="E26" t="s">
        <v>36</v>
      </c>
      <c r="F26" t="s">
        <v>106</v>
      </c>
      <c r="G26" t="s">
        <v>107</v>
      </c>
      <c r="H26">
        <v>2</v>
      </c>
      <c r="I26" t="s">
        <v>31</v>
      </c>
      <c r="J26" t="s">
        <v>23</v>
      </c>
      <c r="K26" t="s">
        <v>24</v>
      </c>
      <c r="L26">
        <v>9910</v>
      </c>
      <c r="M26">
        <v>5754</v>
      </c>
      <c r="N26">
        <v>8828</v>
      </c>
      <c r="O26">
        <v>24492</v>
      </c>
      <c r="P26" t="s">
        <v>50</v>
      </c>
      <c r="Q26" t="s">
        <v>26</v>
      </c>
    </row>
    <row r="27" spans="1:17" x14ac:dyDescent="0.35">
      <c r="A27">
        <v>1026</v>
      </c>
      <c r="B27" t="s">
        <v>108</v>
      </c>
      <c r="C27">
        <v>29</v>
      </c>
      <c r="D27" t="s">
        <v>52</v>
      </c>
      <c r="E27" t="s">
        <v>36</v>
      </c>
      <c r="F27" t="s">
        <v>109</v>
      </c>
      <c r="G27" t="s">
        <v>110</v>
      </c>
      <c r="H27">
        <v>8</v>
      </c>
      <c r="I27" t="s">
        <v>31</v>
      </c>
      <c r="J27" t="s">
        <v>40</v>
      </c>
      <c r="K27" t="s">
        <v>41</v>
      </c>
      <c r="L27">
        <v>19694</v>
      </c>
      <c r="M27">
        <v>2395</v>
      </c>
      <c r="N27">
        <v>6918</v>
      </c>
      <c r="O27">
        <v>29007</v>
      </c>
      <c r="P27" t="s">
        <v>25</v>
      </c>
      <c r="Q27" t="s">
        <v>26</v>
      </c>
    </row>
    <row r="28" spans="1:17" x14ac:dyDescent="0.35">
      <c r="A28">
        <v>1027</v>
      </c>
      <c r="B28" t="s">
        <v>111</v>
      </c>
      <c r="C28">
        <v>63</v>
      </c>
      <c r="D28" t="s">
        <v>28</v>
      </c>
      <c r="E28" t="s">
        <v>19</v>
      </c>
      <c r="F28" t="s">
        <v>112</v>
      </c>
      <c r="G28" t="s">
        <v>113</v>
      </c>
      <c r="H28">
        <v>3</v>
      </c>
      <c r="I28" t="s">
        <v>61</v>
      </c>
      <c r="J28" t="s">
        <v>40</v>
      </c>
      <c r="K28" t="s">
        <v>41</v>
      </c>
      <c r="L28">
        <v>22776</v>
      </c>
      <c r="M28">
        <v>6690</v>
      </c>
      <c r="N28">
        <v>7624</v>
      </c>
      <c r="O28">
        <v>37090</v>
      </c>
      <c r="P28" t="s">
        <v>69</v>
      </c>
      <c r="Q28" t="s">
        <v>114</v>
      </c>
    </row>
    <row r="29" spans="1:17" x14ac:dyDescent="0.35">
      <c r="A29">
        <v>1028</v>
      </c>
      <c r="B29" t="s">
        <v>115</v>
      </c>
      <c r="C29">
        <v>32</v>
      </c>
      <c r="D29" t="s">
        <v>52</v>
      </c>
      <c r="E29" t="s">
        <v>19</v>
      </c>
      <c r="F29" t="s">
        <v>20</v>
      </c>
      <c r="G29" t="s">
        <v>116</v>
      </c>
      <c r="H29">
        <v>7</v>
      </c>
      <c r="I29" t="s">
        <v>22</v>
      </c>
      <c r="J29" t="s">
        <v>79</v>
      </c>
      <c r="K29" t="s">
        <v>80</v>
      </c>
      <c r="L29">
        <v>17895</v>
      </c>
      <c r="M29">
        <v>2343</v>
      </c>
      <c r="N29">
        <v>6870</v>
      </c>
      <c r="O29">
        <v>27108</v>
      </c>
      <c r="P29" t="s">
        <v>34</v>
      </c>
      <c r="Q29" t="s">
        <v>26</v>
      </c>
    </row>
    <row r="30" spans="1:17" x14ac:dyDescent="0.35">
      <c r="A30">
        <v>1029</v>
      </c>
      <c r="B30" t="s">
        <v>117</v>
      </c>
      <c r="C30">
        <v>32</v>
      </c>
      <c r="D30" t="s">
        <v>52</v>
      </c>
      <c r="E30" t="s">
        <v>19</v>
      </c>
      <c r="F30" t="s">
        <v>118</v>
      </c>
      <c r="G30" t="s">
        <v>57</v>
      </c>
      <c r="H30">
        <v>5</v>
      </c>
      <c r="I30" t="s">
        <v>39</v>
      </c>
      <c r="J30" t="s">
        <v>32</v>
      </c>
      <c r="K30" t="s">
        <v>33</v>
      </c>
      <c r="L30">
        <v>16302</v>
      </c>
      <c r="M30">
        <v>6460</v>
      </c>
      <c r="N30">
        <v>6176</v>
      </c>
      <c r="O30">
        <v>28938</v>
      </c>
      <c r="P30" t="s">
        <v>25</v>
      </c>
      <c r="Q30" t="s">
        <v>26</v>
      </c>
    </row>
    <row r="31" spans="1:17" x14ac:dyDescent="0.35">
      <c r="A31">
        <v>1030</v>
      </c>
      <c r="B31" t="s">
        <v>119</v>
      </c>
      <c r="C31">
        <v>19</v>
      </c>
      <c r="D31" t="s">
        <v>43</v>
      </c>
      <c r="E31" t="s">
        <v>36</v>
      </c>
      <c r="F31" t="s">
        <v>120</v>
      </c>
      <c r="G31" t="s">
        <v>121</v>
      </c>
      <c r="H31">
        <v>6</v>
      </c>
      <c r="I31" t="s">
        <v>39</v>
      </c>
      <c r="J31" t="s">
        <v>23</v>
      </c>
      <c r="K31" t="s">
        <v>24</v>
      </c>
      <c r="L31">
        <v>12251</v>
      </c>
      <c r="M31">
        <v>3380</v>
      </c>
      <c r="N31">
        <v>6649</v>
      </c>
      <c r="O31">
        <v>22280</v>
      </c>
      <c r="P31" t="s">
        <v>25</v>
      </c>
      <c r="Q31" t="s">
        <v>26</v>
      </c>
    </row>
    <row r="32" spans="1:17" x14ac:dyDescent="0.35">
      <c r="A32">
        <v>1031</v>
      </c>
      <c r="B32" t="s">
        <v>122</v>
      </c>
      <c r="C32">
        <v>53</v>
      </c>
      <c r="D32" t="s">
        <v>28</v>
      </c>
      <c r="E32" t="s">
        <v>19</v>
      </c>
      <c r="F32" t="s">
        <v>123</v>
      </c>
      <c r="G32" t="s">
        <v>124</v>
      </c>
      <c r="H32">
        <v>1</v>
      </c>
      <c r="I32" t="s">
        <v>65</v>
      </c>
      <c r="J32" t="s">
        <v>23</v>
      </c>
      <c r="K32" t="s">
        <v>24</v>
      </c>
      <c r="L32">
        <v>13763</v>
      </c>
      <c r="M32">
        <v>7694</v>
      </c>
      <c r="N32">
        <v>4160</v>
      </c>
      <c r="O32">
        <v>25617</v>
      </c>
      <c r="P32" t="s">
        <v>69</v>
      </c>
      <c r="Q32" t="s">
        <v>74</v>
      </c>
    </row>
    <row r="33" spans="1:17" x14ac:dyDescent="0.35">
      <c r="A33">
        <v>1032</v>
      </c>
      <c r="B33" t="s">
        <v>125</v>
      </c>
      <c r="C33">
        <v>41</v>
      </c>
      <c r="D33" t="s">
        <v>18</v>
      </c>
      <c r="E33" t="s">
        <v>36</v>
      </c>
      <c r="F33" t="s">
        <v>126</v>
      </c>
      <c r="G33" t="s">
        <v>53</v>
      </c>
      <c r="H33">
        <v>6</v>
      </c>
      <c r="I33" t="s">
        <v>39</v>
      </c>
      <c r="J33" t="s">
        <v>32</v>
      </c>
      <c r="K33" t="s">
        <v>33</v>
      </c>
      <c r="L33">
        <v>6495</v>
      </c>
      <c r="M33">
        <v>2646</v>
      </c>
      <c r="N33">
        <v>7473</v>
      </c>
      <c r="O33">
        <v>16614</v>
      </c>
      <c r="P33" t="s">
        <v>34</v>
      </c>
      <c r="Q33" t="s">
        <v>26</v>
      </c>
    </row>
    <row r="34" spans="1:17" x14ac:dyDescent="0.35">
      <c r="A34">
        <v>1033</v>
      </c>
      <c r="B34" t="s">
        <v>127</v>
      </c>
      <c r="C34">
        <v>24</v>
      </c>
      <c r="D34" t="s">
        <v>43</v>
      </c>
      <c r="E34" t="s">
        <v>19</v>
      </c>
      <c r="F34" t="s">
        <v>128</v>
      </c>
      <c r="G34" t="s">
        <v>129</v>
      </c>
      <c r="H34">
        <v>7</v>
      </c>
      <c r="I34" t="s">
        <v>31</v>
      </c>
      <c r="J34" t="s">
        <v>40</v>
      </c>
      <c r="K34" t="s">
        <v>41</v>
      </c>
      <c r="L34">
        <v>13360</v>
      </c>
      <c r="M34">
        <v>7620</v>
      </c>
      <c r="N34">
        <v>8621</v>
      </c>
      <c r="O34">
        <v>29601</v>
      </c>
      <c r="P34" t="s">
        <v>34</v>
      </c>
      <c r="Q34" t="s">
        <v>26</v>
      </c>
    </row>
    <row r="35" spans="1:17" x14ac:dyDescent="0.35">
      <c r="A35">
        <v>1034</v>
      </c>
      <c r="B35" t="s">
        <v>130</v>
      </c>
      <c r="C35">
        <v>28</v>
      </c>
      <c r="D35" t="s">
        <v>52</v>
      </c>
      <c r="E35" t="s">
        <v>19</v>
      </c>
      <c r="F35" t="s">
        <v>131</v>
      </c>
      <c r="G35" t="s">
        <v>132</v>
      </c>
      <c r="H35">
        <v>6</v>
      </c>
      <c r="I35" t="s">
        <v>65</v>
      </c>
      <c r="J35" t="s">
        <v>48</v>
      </c>
      <c r="K35" t="s">
        <v>49</v>
      </c>
      <c r="L35">
        <v>17689</v>
      </c>
      <c r="M35">
        <v>3405</v>
      </c>
      <c r="N35">
        <v>7124</v>
      </c>
      <c r="O35">
        <v>28218</v>
      </c>
      <c r="P35" t="s">
        <v>69</v>
      </c>
      <c r="Q35" t="s">
        <v>114</v>
      </c>
    </row>
    <row r="36" spans="1:17" x14ac:dyDescent="0.35">
      <c r="A36">
        <v>1035</v>
      </c>
      <c r="B36" t="s">
        <v>133</v>
      </c>
      <c r="C36">
        <v>39</v>
      </c>
      <c r="D36" t="s">
        <v>18</v>
      </c>
      <c r="E36" t="s">
        <v>19</v>
      </c>
      <c r="F36" t="s">
        <v>104</v>
      </c>
      <c r="G36" t="s">
        <v>134</v>
      </c>
      <c r="H36">
        <v>9</v>
      </c>
      <c r="I36" t="s">
        <v>22</v>
      </c>
      <c r="J36" t="s">
        <v>23</v>
      </c>
      <c r="K36" t="s">
        <v>24</v>
      </c>
      <c r="L36">
        <v>8653</v>
      </c>
      <c r="M36">
        <v>4594</v>
      </c>
      <c r="N36">
        <v>3280</v>
      </c>
      <c r="O36">
        <v>16527</v>
      </c>
      <c r="P36" t="s">
        <v>50</v>
      </c>
      <c r="Q36" t="s">
        <v>26</v>
      </c>
    </row>
    <row r="37" spans="1:17" x14ac:dyDescent="0.35">
      <c r="A37">
        <v>1036</v>
      </c>
      <c r="B37" t="s">
        <v>135</v>
      </c>
      <c r="C37">
        <v>65</v>
      </c>
      <c r="D37" t="s">
        <v>28</v>
      </c>
      <c r="E37" t="s">
        <v>36</v>
      </c>
      <c r="F37" t="s">
        <v>60</v>
      </c>
      <c r="G37" t="s">
        <v>136</v>
      </c>
      <c r="H37">
        <v>4</v>
      </c>
      <c r="I37" t="s">
        <v>61</v>
      </c>
      <c r="J37" t="s">
        <v>32</v>
      </c>
      <c r="K37" t="s">
        <v>33</v>
      </c>
      <c r="L37">
        <v>23772</v>
      </c>
      <c r="M37">
        <v>5756</v>
      </c>
      <c r="N37">
        <v>5492</v>
      </c>
      <c r="O37">
        <v>35020</v>
      </c>
      <c r="P37" t="s">
        <v>25</v>
      </c>
      <c r="Q37" t="s">
        <v>26</v>
      </c>
    </row>
    <row r="38" spans="1:17" x14ac:dyDescent="0.35">
      <c r="A38">
        <v>1037</v>
      </c>
      <c r="B38" t="s">
        <v>137</v>
      </c>
      <c r="C38">
        <v>50</v>
      </c>
      <c r="D38" t="s">
        <v>28</v>
      </c>
      <c r="E38" t="s">
        <v>36</v>
      </c>
      <c r="F38" t="s">
        <v>138</v>
      </c>
      <c r="G38" t="s">
        <v>53</v>
      </c>
      <c r="H38">
        <v>3</v>
      </c>
      <c r="I38" t="s">
        <v>39</v>
      </c>
      <c r="J38" t="s">
        <v>23</v>
      </c>
      <c r="K38" t="s">
        <v>24</v>
      </c>
      <c r="L38">
        <v>13921</v>
      </c>
      <c r="M38">
        <v>6351</v>
      </c>
      <c r="N38">
        <v>8966</v>
      </c>
      <c r="O38">
        <v>29238</v>
      </c>
      <c r="P38" t="s">
        <v>69</v>
      </c>
      <c r="Q38" t="s">
        <v>26</v>
      </c>
    </row>
    <row r="39" spans="1:17" x14ac:dyDescent="0.35">
      <c r="A39">
        <v>1038</v>
      </c>
      <c r="B39" t="s">
        <v>139</v>
      </c>
      <c r="C39">
        <v>61</v>
      </c>
      <c r="D39" t="s">
        <v>28</v>
      </c>
      <c r="E39" t="s">
        <v>19</v>
      </c>
      <c r="F39" t="s">
        <v>140</v>
      </c>
      <c r="G39" t="s">
        <v>141</v>
      </c>
      <c r="H39">
        <v>6</v>
      </c>
      <c r="I39" t="s">
        <v>22</v>
      </c>
      <c r="J39" t="s">
        <v>32</v>
      </c>
      <c r="K39" t="s">
        <v>33</v>
      </c>
      <c r="L39">
        <v>14236</v>
      </c>
      <c r="M39">
        <v>7250</v>
      </c>
      <c r="N39">
        <v>4565</v>
      </c>
      <c r="O39">
        <v>26051</v>
      </c>
      <c r="P39" t="s">
        <v>34</v>
      </c>
      <c r="Q39" t="s">
        <v>26</v>
      </c>
    </row>
    <row r="40" spans="1:17" x14ac:dyDescent="0.35">
      <c r="A40">
        <v>1039</v>
      </c>
      <c r="B40" t="s">
        <v>142</v>
      </c>
      <c r="C40">
        <v>71</v>
      </c>
      <c r="D40" t="s">
        <v>28</v>
      </c>
      <c r="E40" t="s">
        <v>36</v>
      </c>
      <c r="F40" t="s">
        <v>143</v>
      </c>
      <c r="G40" t="s">
        <v>120</v>
      </c>
      <c r="H40">
        <v>2</v>
      </c>
      <c r="I40" t="s">
        <v>39</v>
      </c>
      <c r="J40" t="s">
        <v>32</v>
      </c>
      <c r="K40" t="s">
        <v>33</v>
      </c>
      <c r="L40">
        <v>7683</v>
      </c>
      <c r="M40">
        <v>4562</v>
      </c>
      <c r="N40">
        <v>7115</v>
      </c>
      <c r="O40">
        <v>19360</v>
      </c>
      <c r="P40" t="s">
        <v>50</v>
      </c>
      <c r="Q40" t="s">
        <v>26</v>
      </c>
    </row>
    <row r="41" spans="1:17" x14ac:dyDescent="0.35">
      <c r="A41">
        <v>1040</v>
      </c>
      <c r="B41" t="s">
        <v>144</v>
      </c>
      <c r="C41">
        <v>66</v>
      </c>
      <c r="D41" t="s">
        <v>28</v>
      </c>
      <c r="E41" t="s">
        <v>36</v>
      </c>
      <c r="F41" t="s">
        <v>145</v>
      </c>
      <c r="G41" t="s">
        <v>146</v>
      </c>
      <c r="H41">
        <v>7</v>
      </c>
      <c r="I41" t="s">
        <v>65</v>
      </c>
      <c r="J41" t="s">
        <v>79</v>
      </c>
      <c r="K41" t="s">
        <v>80</v>
      </c>
      <c r="L41">
        <v>22903</v>
      </c>
      <c r="M41">
        <v>5857</v>
      </c>
      <c r="N41">
        <v>6202</v>
      </c>
      <c r="O41">
        <v>34962</v>
      </c>
      <c r="P41" t="s">
        <v>25</v>
      </c>
      <c r="Q41" t="s">
        <v>26</v>
      </c>
    </row>
    <row r="42" spans="1:17" x14ac:dyDescent="0.35">
      <c r="A42">
        <v>1041</v>
      </c>
      <c r="B42" t="s">
        <v>117</v>
      </c>
      <c r="C42">
        <v>25</v>
      </c>
      <c r="D42" t="s">
        <v>52</v>
      </c>
      <c r="E42" t="s">
        <v>36</v>
      </c>
      <c r="F42" t="s">
        <v>136</v>
      </c>
      <c r="G42" t="s">
        <v>86</v>
      </c>
      <c r="H42">
        <v>1</v>
      </c>
      <c r="I42" t="s">
        <v>61</v>
      </c>
      <c r="J42" t="s">
        <v>32</v>
      </c>
      <c r="K42" t="s">
        <v>33</v>
      </c>
      <c r="L42">
        <v>18325</v>
      </c>
      <c r="M42">
        <v>6526</v>
      </c>
      <c r="N42">
        <v>8983</v>
      </c>
      <c r="O42">
        <v>33834</v>
      </c>
      <c r="P42" t="s">
        <v>69</v>
      </c>
      <c r="Q42" t="s">
        <v>114</v>
      </c>
    </row>
    <row r="43" spans="1:17" x14ac:dyDescent="0.35">
      <c r="A43">
        <v>1042</v>
      </c>
      <c r="B43" t="s">
        <v>147</v>
      </c>
      <c r="C43">
        <v>37</v>
      </c>
      <c r="D43" t="s">
        <v>18</v>
      </c>
      <c r="E43" t="s">
        <v>36</v>
      </c>
      <c r="F43" t="s">
        <v>148</v>
      </c>
      <c r="G43" t="s">
        <v>64</v>
      </c>
      <c r="H43">
        <v>3</v>
      </c>
      <c r="I43" t="s">
        <v>65</v>
      </c>
      <c r="J43" t="s">
        <v>40</v>
      </c>
      <c r="K43" t="s">
        <v>41</v>
      </c>
      <c r="L43">
        <v>12547</v>
      </c>
      <c r="M43">
        <v>7575</v>
      </c>
      <c r="N43">
        <v>6680</v>
      </c>
      <c r="O43">
        <v>26802</v>
      </c>
      <c r="P43" t="s">
        <v>25</v>
      </c>
      <c r="Q43" t="s">
        <v>26</v>
      </c>
    </row>
    <row r="44" spans="1:17" x14ac:dyDescent="0.35">
      <c r="A44">
        <v>1043</v>
      </c>
      <c r="B44" t="s">
        <v>125</v>
      </c>
      <c r="C44">
        <v>37</v>
      </c>
      <c r="D44" t="s">
        <v>18</v>
      </c>
      <c r="E44" t="s">
        <v>19</v>
      </c>
      <c r="F44" t="s">
        <v>149</v>
      </c>
      <c r="G44" t="s">
        <v>118</v>
      </c>
      <c r="H44">
        <v>3</v>
      </c>
      <c r="I44" t="s">
        <v>39</v>
      </c>
      <c r="J44" t="s">
        <v>79</v>
      </c>
      <c r="K44" t="s">
        <v>80</v>
      </c>
      <c r="L44">
        <v>13851</v>
      </c>
      <c r="M44">
        <v>6677</v>
      </c>
      <c r="N44">
        <v>7499</v>
      </c>
      <c r="O44">
        <v>28027</v>
      </c>
      <c r="P44" t="s">
        <v>50</v>
      </c>
      <c r="Q44" t="s">
        <v>26</v>
      </c>
    </row>
    <row r="45" spans="1:17" x14ac:dyDescent="0.35">
      <c r="A45">
        <v>1044</v>
      </c>
      <c r="B45" t="s">
        <v>150</v>
      </c>
      <c r="C45">
        <v>45</v>
      </c>
      <c r="D45" t="s">
        <v>18</v>
      </c>
      <c r="E45" t="s">
        <v>19</v>
      </c>
      <c r="F45" t="s">
        <v>21</v>
      </c>
      <c r="G45" t="s">
        <v>151</v>
      </c>
      <c r="H45">
        <v>1</v>
      </c>
      <c r="I45" t="s">
        <v>22</v>
      </c>
      <c r="J45" t="s">
        <v>32</v>
      </c>
      <c r="K45" t="s">
        <v>33</v>
      </c>
      <c r="L45">
        <v>13710</v>
      </c>
      <c r="M45">
        <v>6094</v>
      </c>
      <c r="N45">
        <v>3434</v>
      </c>
      <c r="O45">
        <v>23238</v>
      </c>
      <c r="P45" t="s">
        <v>69</v>
      </c>
      <c r="Q45" t="s">
        <v>114</v>
      </c>
    </row>
    <row r="46" spans="1:17" x14ac:dyDescent="0.35">
      <c r="A46">
        <v>1045</v>
      </c>
      <c r="B46" t="s">
        <v>152</v>
      </c>
      <c r="C46">
        <v>55</v>
      </c>
      <c r="D46" t="s">
        <v>28</v>
      </c>
      <c r="E46" t="s">
        <v>19</v>
      </c>
      <c r="F46" t="s">
        <v>153</v>
      </c>
      <c r="G46" t="s">
        <v>89</v>
      </c>
      <c r="H46">
        <v>10</v>
      </c>
      <c r="I46" t="s">
        <v>39</v>
      </c>
      <c r="J46" t="s">
        <v>32</v>
      </c>
      <c r="K46" t="s">
        <v>33</v>
      </c>
      <c r="L46">
        <v>12368</v>
      </c>
      <c r="M46">
        <v>5516</v>
      </c>
      <c r="N46">
        <v>5807</v>
      </c>
      <c r="O46">
        <v>23691</v>
      </c>
      <c r="P46" t="s">
        <v>50</v>
      </c>
      <c r="Q46" t="s">
        <v>26</v>
      </c>
    </row>
    <row r="47" spans="1:17" x14ac:dyDescent="0.35">
      <c r="A47">
        <v>1046</v>
      </c>
      <c r="B47" t="s">
        <v>154</v>
      </c>
      <c r="C47">
        <v>20</v>
      </c>
      <c r="D47" t="s">
        <v>43</v>
      </c>
      <c r="E47" t="s">
        <v>19</v>
      </c>
      <c r="F47" t="s">
        <v>37</v>
      </c>
      <c r="G47" t="s">
        <v>121</v>
      </c>
      <c r="H47">
        <v>3</v>
      </c>
      <c r="I47" t="s">
        <v>39</v>
      </c>
      <c r="J47" t="s">
        <v>48</v>
      </c>
      <c r="K47" t="s">
        <v>49</v>
      </c>
      <c r="L47">
        <v>17285</v>
      </c>
      <c r="M47">
        <v>4459</v>
      </c>
      <c r="N47">
        <v>6463</v>
      </c>
      <c r="O47">
        <v>28207</v>
      </c>
      <c r="P47" t="s">
        <v>50</v>
      </c>
      <c r="Q47" t="s">
        <v>26</v>
      </c>
    </row>
    <row r="48" spans="1:17" x14ac:dyDescent="0.35">
      <c r="A48">
        <v>1047</v>
      </c>
      <c r="B48" t="s">
        <v>115</v>
      </c>
      <c r="C48">
        <v>18</v>
      </c>
      <c r="D48" t="s">
        <v>43</v>
      </c>
      <c r="E48" t="s">
        <v>36</v>
      </c>
      <c r="F48" t="s">
        <v>155</v>
      </c>
      <c r="G48" t="s">
        <v>156</v>
      </c>
      <c r="H48">
        <v>8</v>
      </c>
      <c r="I48" t="s">
        <v>22</v>
      </c>
      <c r="J48" t="s">
        <v>48</v>
      </c>
      <c r="K48" t="s">
        <v>49</v>
      </c>
      <c r="L48">
        <v>6292</v>
      </c>
      <c r="M48">
        <v>3800</v>
      </c>
      <c r="N48">
        <v>7514</v>
      </c>
      <c r="O48">
        <v>17606</v>
      </c>
      <c r="P48" t="s">
        <v>69</v>
      </c>
      <c r="Q48" t="s">
        <v>70</v>
      </c>
    </row>
    <row r="49" spans="1:17" x14ac:dyDescent="0.35">
      <c r="A49">
        <v>1048</v>
      </c>
      <c r="B49" t="s">
        <v>157</v>
      </c>
      <c r="C49">
        <v>20</v>
      </c>
      <c r="D49" t="s">
        <v>43</v>
      </c>
      <c r="E49" t="s">
        <v>36</v>
      </c>
      <c r="F49" t="s">
        <v>86</v>
      </c>
      <c r="G49" t="s">
        <v>87</v>
      </c>
      <c r="H49">
        <v>7</v>
      </c>
      <c r="I49" t="s">
        <v>61</v>
      </c>
      <c r="J49" t="s">
        <v>40</v>
      </c>
      <c r="K49" t="s">
        <v>41</v>
      </c>
      <c r="L49">
        <v>18821</v>
      </c>
      <c r="M49">
        <v>4844</v>
      </c>
      <c r="N49">
        <v>7328</v>
      </c>
      <c r="O49">
        <v>30993</v>
      </c>
      <c r="P49" t="s">
        <v>69</v>
      </c>
      <c r="Q49" t="s">
        <v>114</v>
      </c>
    </row>
    <row r="50" spans="1:17" x14ac:dyDescent="0.35">
      <c r="A50">
        <v>1049</v>
      </c>
      <c r="B50" t="s">
        <v>158</v>
      </c>
      <c r="C50">
        <v>22</v>
      </c>
      <c r="D50" t="s">
        <v>43</v>
      </c>
      <c r="E50" t="s">
        <v>19</v>
      </c>
      <c r="F50" t="s">
        <v>107</v>
      </c>
      <c r="G50" t="s">
        <v>159</v>
      </c>
      <c r="H50">
        <v>3</v>
      </c>
      <c r="I50" t="s">
        <v>31</v>
      </c>
      <c r="J50" t="s">
        <v>23</v>
      </c>
      <c r="K50" t="s">
        <v>24</v>
      </c>
      <c r="L50">
        <v>19966</v>
      </c>
      <c r="M50">
        <v>7297</v>
      </c>
      <c r="N50">
        <v>6562</v>
      </c>
      <c r="O50">
        <v>33825</v>
      </c>
      <c r="P50" t="s">
        <v>50</v>
      </c>
      <c r="Q50" t="s">
        <v>26</v>
      </c>
    </row>
    <row r="51" spans="1:17" x14ac:dyDescent="0.35">
      <c r="A51">
        <v>1050</v>
      </c>
      <c r="B51" t="s">
        <v>160</v>
      </c>
      <c r="C51">
        <v>69</v>
      </c>
      <c r="D51" t="s">
        <v>28</v>
      </c>
      <c r="E51" t="s">
        <v>36</v>
      </c>
      <c r="F51" t="s">
        <v>161</v>
      </c>
      <c r="G51" t="s">
        <v>162</v>
      </c>
      <c r="H51">
        <v>10</v>
      </c>
      <c r="I51" t="s">
        <v>61</v>
      </c>
      <c r="J51" t="s">
        <v>32</v>
      </c>
      <c r="K51" t="s">
        <v>33</v>
      </c>
      <c r="L51">
        <v>21649</v>
      </c>
      <c r="M51">
        <v>4348</v>
      </c>
      <c r="N51">
        <v>3935</v>
      </c>
      <c r="O51">
        <v>29932</v>
      </c>
      <c r="P51" t="s">
        <v>50</v>
      </c>
      <c r="Q51" t="s">
        <v>26</v>
      </c>
    </row>
    <row r="52" spans="1:17" x14ac:dyDescent="0.35">
      <c r="A52">
        <v>1051</v>
      </c>
      <c r="B52" t="s">
        <v>163</v>
      </c>
      <c r="C52">
        <v>49</v>
      </c>
      <c r="D52" t="s">
        <v>18</v>
      </c>
      <c r="E52" t="s">
        <v>36</v>
      </c>
      <c r="F52" t="s">
        <v>132</v>
      </c>
      <c r="G52" t="s">
        <v>146</v>
      </c>
      <c r="H52">
        <v>6</v>
      </c>
      <c r="I52" t="s">
        <v>65</v>
      </c>
      <c r="J52" t="s">
        <v>48</v>
      </c>
      <c r="K52" t="s">
        <v>49</v>
      </c>
      <c r="L52">
        <v>14024</v>
      </c>
      <c r="M52">
        <v>7240</v>
      </c>
      <c r="N52">
        <v>7183</v>
      </c>
      <c r="O52">
        <v>28447</v>
      </c>
      <c r="P52" t="s">
        <v>25</v>
      </c>
      <c r="Q52" t="s">
        <v>26</v>
      </c>
    </row>
    <row r="53" spans="1:17" x14ac:dyDescent="0.35">
      <c r="A53">
        <v>1052</v>
      </c>
      <c r="B53" t="s">
        <v>164</v>
      </c>
      <c r="C53">
        <v>41</v>
      </c>
      <c r="D53" t="s">
        <v>18</v>
      </c>
      <c r="E53" t="s">
        <v>36</v>
      </c>
      <c r="F53" t="s">
        <v>165</v>
      </c>
      <c r="G53" t="s">
        <v>166</v>
      </c>
      <c r="H53">
        <v>6</v>
      </c>
      <c r="I53" t="s">
        <v>61</v>
      </c>
      <c r="J53" t="s">
        <v>79</v>
      </c>
      <c r="K53" t="s">
        <v>80</v>
      </c>
      <c r="L53">
        <v>14807</v>
      </c>
      <c r="M53">
        <v>3021</v>
      </c>
      <c r="N53">
        <v>6131</v>
      </c>
      <c r="O53">
        <v>23959</v>
      </c>
      <c r="P53" t="s">
        <v>69</v>
      </c>
      <c r="Q53" t="s">
        <v>74</v>
      </c>
    </row>
    <row r="54" spans="1:17" x14ac:dyDescent="0.35">
      <c r="A54">
        <v>1053</v>
      </c>
      <c r="B54" t="s">
        <v>85</v>
      </c>
      <c r="C54">
        <v>24</v>
      </c>
      <c r="D54" t="s">
        <v>43</v>
      </c>
      <c r="E54" t="s">
        <v>36</v>
      </c>
      <c r="F54" t="s">
        <v>167</v>
      </c>
      <c r="G54" t="s">
        <v>168</v>
      </c>
      <c r="H54">
        <v>2</v>
      </c>
      <c r="I54" t="s">
        <v>22</v>
      </c>
      <c r="J54" t="s">
        <v>79</v>
      </c>
      <c r="K54" t="s">
        <v>80</v>
      </c>
      <c r="L54">
        <v>24931</v>
      </c>
      <c r="M54">
        <v>6824</v>
      </c>
      <c r="N54">
        <v>5098</v>
      </c>
      <c r="O54">
        <v>36853</v>
      </c>
      <c r="P54" t="s">
        <v>69</v>
      </c>
      <c r="Q54" t="s">
        <v>70</v>
      </c>
    </row>
    <row r="55" spans="1:17" x14ac:dyDescent="0.35">
      <c r="A55">
        <v>1054</v>
      </c>
      <c r="B55" t="s">
        <v>169</v>
      </c>
      <c r="C55">
        <v>56</v>
      </c>
      <c r="D55" t="s">
        <v>28</v>
      </c>
      <c r="E55" t="s">
        <v>36</v>
      </c>
      <c r="F55" t="s">
        <v>73</v>
      </c>
      <c r="G55" t="s">
        <v>170</v>
      </c>
      <c r="H55">
        <v>3</v>
      </c>
      <c r="I55" t="s">
        <v>31</v>
      </c>
      <c r="J55" t="s">
        <v>32</v>
      </c>
      <c r="K55" t="s">
        <v>33</v>
      </c>
      <c r="L55">
        <v>19305</v>
      </c>
      <c r="M55">
        <v>2147</v>
      </c>
      <c r="N55">
        <v>3273</v>
      </c>
      <c r="O55">
        <v>24725</v>
      </c>
      <c r="P55" t="s">
        <v>25</v>
      </c>
      <c r="Q55" t="s">
        <v>26</v>
      </c>
    </row>
    <row r="56" spans="1:17" x14ac:dyDescent="0.35">
      <c r="A56">
        <v>1055</v>
      </c>
      <c r="B56" t="s">
        <v>171</v>
      </c>
      <c r="C56">
        <v>73</v>
      </c>
      <c r="D56" t="s">
        <v>28</v>
      </c>
      <c r="E56" t="s">
        <v>19</v>
      </c>
      <c r="F56" t="s">
        <v>121</v>
      </c>
      <c r="G56" t="s">
        <v>91</v>
      </c>
      <c r="H56">
        <v>1</v>
      </c>
      <c r="I56" t="s">
        <v>39</v>
      </c>
      <c r="J56" t="s">
        <v>40</v>
      </c>
      <c r="K56" t="s">
        <v>41</v>
      </c>
      <c r="L56">
        <v>23358</v>
      </c>
      <c r="M56">
        <v>6772</v>
      </c>
      <c r="N56">
        <v>6191</v>
      </c>
      <c r="O56">
        <v>36321</v>
      </c>
      <c r="P56" t="s">
        <v>50</v>
      </c>
      <c r="Q56" t="s">
        <v>26</v>
      </c>
    </row>
    <row r="57" spans="1:17" x14ac:dyDescent="0.35">
      <c r="A57">
        <v>1056</v>
      </c>
      <c r="B57" t="s">
        <v>172</v>
      </c>
      <c r="C57">
        <v>51</v>
      </c>
      <c r="D57" t="s">
        <v>28</v>
      </c>
      <c r="E57" t="s">
        <v>19</v>
      </c>
      <c r="F57" t="s">
        <v>126</v>
      </c>
      <c r="G57" t="s">
        <v>149</v>
      </c>
      <c r="H57">
        <v>10</v>
      </c>
      <c r="I57" t="s">
        <v>39</v>
      </c>
      <c r="J57" t="s">
        <v>79</v>
      </c>
      <c r="K57" t="s">
        <v>80</v>
      </c>
      <c r="L57">
        <v>12028</v>
      </c>
      <c r="M57">
        <v>3604</v>
      </c>
      <c r="N57">
        <v>4010</v>
      </c>
      <c r="O57">
        <v>19642</v>
      </c>
      <c r="P57" t="s">
        <v>25</v>
      </c>
      <c r="Q57" t="s">
        <v>26</v>
      </c>
    </row>
    <row r="58" spans="1:17" x14ac:dyDescent="0.35">
      <c r="A58">
        <v>1057</v>
      </c>
      <c r="B58" t="s">
        <v>173</v>
      </c>
      <c r="C58">
        <v>37</v>
      </c>
      <c r="D58" t="s">
        <v>18</v>
      </c>
      <c r="E58" t="s">
        <v>19</v>
      </c>
      <c r="F58" t="s">
        <v>168</v>
      </c>
      <c r="G58" t="s">
        <v>134</v>
      </c>
      <c r="H58">
        <v>5</v>
      </c>
      <c r="I58" t="s">
        <v>22</v>
      </c>
      <c r="J58" t="s">
        <v>48</v>
      </c>
      <c r="K58" t="s">
        <v>49</v>
      </c>
      <c r="L58">
        <v>19475</v>
      </c>
      <c r="M58">
        <v>3285</v>
      </c>
      <c r="N58">
        <v>6144</v>
      </c>
      <c r="O58">
        <v>28904</v>
      </c>
      <c r="P58" t="s">
        <v>69</v>
      </c>
      <c r="Q58" t="s">
        <v>74</v>
      </c>
    </row>
    <row r="59" spans="1:17" x14ac:dyDescent="0.35">
      <c r="A59">
        <v>1058</v>
      </c>
      <c r="B59" t="s">
        <v>174</v>
      </c>
      <c r="C59">
        <v>64</v>
      </c>
      <c r="D59" t="s">
        <v>28</v>
      </c>
      <c r="E59" t="s">
        <v>19</v>
      </c>
      <c r="F59" t="s">
        <v>175</v>
      </c>
      <c r="G59" t="s">
        <v>63</v>
      </c>
      <c r="H59">
        <v>6</v>
      </c>
      <c r="I59" t="s">
        <v>65</v>
      </c>
      <c r="J59" t="s">
        <v>79</v>
      </c>
      <c r="K59" t="s">
        <v>80</v>
      </c>
      <c r="L59">
        <v>20525</v>
      </c>
      <c r="M59">
        <v>6432</v>
      </c>
      <c r="N59">
        <v>3314</v>
      </c>
      <c r="O59">
        <v>30271</v>
      </c>
      <c r="P59" t="s">
        <v>25</v>
      </c>
      <c r="Q59" t="s">
        <v>26</v>
      </c>
    </row>
    <row r="60" spans="1:17" x14ac:dyDescent="0.35">
      <c r="A60">
        <v>1059</v>
      </c>
      <c r="B60" t="s">
        <v>176</v>
      </c>
      <c r="C60">
        <v>46</v>
      </c>
      <c r="D60" t="s">
        <v>18</v>
      </c>
      <c r="E60" t="s">
        <v>36</v>
      </c>
      <c r="F60" t="s">
        <v>177</v>
      </c>
      <c r="G60" t="s">
        <v>145</v>
      </c>
      <c r="H60">
        <v>4</v>
      </c>
      <c r="I60" t="s">
        <v>65</v>
      </c>
      <c r="J60" t="s">
        <v>48</v>
      </c>
      <c r="K60" t="s">
        <v>49</v>
      </c>
      <c r="L60">
        <v>21277</v>
      </c>
      <c r="M60">
        <v>7052</v>
      </c>
      <c r="N60">
        <v>7577</v>
      </c>
      <c r="O60">
        <v>35906</v>
      </c>
      <c r="P60" t="s">
        <v>50</v>
      </c>
      <c r="Q60" t="s">
        <v>26</v>
      </c>
    </row>
    <row r="61" spans="1:17" x14ac:dyDescent="0.35">
      <c r="A61">
        <v>1060</v>
      </c>
      <c r="B61" t="s">
        <v>178</v>
      </c>
      <c r="C61">
        <v>66</v>
      </c>
      <c r="D61" t="s">
        <v>28</v>
      </c>
      <c r="E61" t="s">
        <v>19</v>
      </c>
      <c r="F61" t="s">
        <v>179</v>
      </c>
      <c r="G61" t="s">
        <v>180</v>
      </c>
      <c r="H61">
        <v>8</v>
      </c>
      <c r="I61" t="s">
        <v>65</v>
      </c>
      <c r="J61" t="s">
        <v>23</v>
      </c>
      <c r="K61" t="s">
        <v>24</v>
      </c>
      <c r="L61">
        <v>20470</v>
      </c>
      <c r="M61">
        <v>3811</v>
      </c>
      <c r="N61">
        <v>7098</v>
      </c>
      <c r="O61">
        <v>31379</v>
      </c>
      <c r="P61" t="s">
        <v>34</v>
      </c>
      <c r="Q61" t="s">
        <v>26</v>
      </c>
    </row>
    <row r="62" spans="1:17" x14ac:dyDescent="0.35">
      <c r="A62">
        <v>1061</v>
      </c>
      <c r="B62" t="s">
        <v>181</v>
      </c>
      <c r="C62">
        <v>18</v>
      </c>
      <c r="D62" t="s">
        <v>43</v>
      </c>
      <c r="E62" t="s">
        <v>19</v>
      </c>
      <c r="F62" t="s">
        <v>89</v>
      </c>
      <c r="G62" t="s">
        <v>182</v>
      </c>
      <c r="H62">
        <v>1</v>
      </c>
      <c r="I62" t="s">
        <v>31</v>
      </c>
      <c r="J62" t="s">
        <v>79</v>
      </c>
      <c r="K62" t="s">
        <v>80</v>
      </c>
      <c r="L62">
        <v>14077</v>
      </c>
      <c r="M62">
        <v>2246</v>
      </c>
      <c r="N62">
        <v>6095</v>
      </c>
      <c r="O62">
        <v>22418</v>
      </c>
      <c r="P62" t="s">
        <v>50</v>
      </c>
      <c r="Q62" t="s">
        <v>26</v>
      </c>
    </row>
    <row r="63" spans="1:17" x14ac:dyDescent="0.35">
      <c r="A63">
        <v>1062</v>
      </c>
      <c r="B63" t="s">
        <v>181</v>
      </c>
      <c r="C63">
        <v>57</v>
      </c>
      <c r="D63" t="s">
        <v>28</v>
      </c>
      <c r="E63" t="s">
        <v>19</v>
      </c>
      <c r="F63" t="s">
        <v>78</v>
      </c>
      <c r="G63" t="s">
        <v>76</v>
      </c>
      <c r="H63">
        <v>3</v>
      </c>
      <c r="I63" t="s">
        <v>22</v>
      </c>
      <c r="J63" t="s">
        <v>32</v>
      </c>
      <c r="K63" t="s">
        <v>33</v>
      </c>
      <c r="L63">
        <v>13648</v>
      </c>
      <c r="M63">
        <v>5248</v>
      </c>
      <c r="N63">
        <v>4246</v>
      </c>
      <c r="O63">
        <v>23142</v>
      </c>
      <c r="P63" t="s">
        <v>25</v>
      </c>
      <c r="Q63" t="s">
        <v>26</v>
      </c>
    </row>
    <row r="64" spans="1:17" x14ac:dyDescent="0.35">
      <c r="A64">
        <v>1063</v>
      </c>
      <c r="B64" t="s">
        <v>183</v>
      </c>
      <c r="C64">
        <v>57</v>
      </c>
      <c r="D64" t="s">
        <v>28</v>
      </c>
      <c r="E64" t="s">
        <v>19</v>
      </c>
      <c r="F64" t="s">
        <v>143</v>
      </c>
      <c r="G64" t="s">
        <v>126</v>
      </c>
      <c r="H64">
        <v>1</v>
      </c>
      <c r="I64" t="s">
        <v>39</v>
      </c>
      <c r="J64" t="s">
        <v>79</v>
      </c>
      <c r="K64" t="s">
        <v>80</v>
      </c>
      <c r="L64">
        <v>22571</v>
      </c>
      <c r="M64">
        <v>7580</v>
      </c>
      <c r="N64">
        <v>3167</v>
      </c>
      <c r="O64">
        <v>33318</v>
      </c>
      <c r="P64" t="s">
        <v>34</v>
      </c>
      <c r="Q64" t="s">
        <v>26</v>
      </c>
    </row>
    <row r="65" spans="1:17" x14ac:dyDescent="0.35">
      <c r="A65">
        <v>1064</v>
      </c>
      <c r="B65" t="s">
        <v>184</v>
      </c>
      <c r="C65">
        <v>36</v>
      </c>
      <c r="D65" t="s">
        <v>18</v>
      </c>
      <c r="E65" t="s">
        <v>19</v>
      </c>
      <c r="F65" t="s">
        <v>63</v>
      </c>
      <c r="G65" t="s">
        <v>64</v>
      </c>
      <c r="H65">
        <v>1</v>
      </c>
      <c r="I65" t="s">
        <v>65</v>
      </c>
      <c r="J65" t="s">
        <v>48</v>
      </c>
      <c r="K65" t="s">
        <v>49</v>
      </c>
      <c r="L65">
        <v>17097</v>
      </c>
      <c r="M65">
        <v>2642</v>
      </c>
      <c r="N65">
        <v>6038</v>
      </c>
      <c r="O65">
        <v>25777</v>
      </c>
      <c r="P65" t="s">
        <v>69</v>
      </c>
      <c r="Q65" t="s">
        <v>114</v>
      </c>
    </row>
    <row r="66" spans="1:17" x14ac:dyDescent="0.35">
      <c r="A66">
        <v>1065</v>
      </c>
      <c r="B66" t="s">
        <v>185</v>
      </c>
      <c r="C66">
        <v>47</v>
      </c>
      <c r="D66" t="s">
        <v>18</v>
      </c>
      <c r="E66" t="s">
        <v>36</v>
      </c>
      <c r="F66" t="s">
        <v>186</v>
      </c>
      <c r="G66" t="s">
        <v>67</v>
      </c>
      <c r="H66">
        <v>5</v>
      </c>
      <c r="I66" t="s">
        <v>39</v>
      </c>
      <c r="J66" t="s">
        <v>79</v>
      </c>
      <c r="K66" t="s">
        <v>80</v>
      </c>
      <c r="L66">
        <v>18251</v>
      </c>
      <c r="M66">
        <v>5948</v>
      </c>
      <c r="N66">
        <v>6726</v>
      </c>
      <c r="O66">
        <v>30925</v>
      </c>
      <c r="P66" t="s">
        <v>25</v>
      </c>
      <c r="Q66" t="s">
        <v>26</v>
      </c>
    </row>
    <row r="67" spans="1:17" x14ac:dyDescent="0.35">
      <c r="A67">
        <v>1066</v>
      </c>
      <c r="B67" t="s">
        <v>35</v>
      </c>
      <c r="C67">
        <v>52</v>
      </c>
      <c r="D67" t="s">
        <v>28</v>
      </c>
      <c r="E67" t="s">
        <v>36</v>
      </c>
      <c r="F67" t="s">
        <v>46</v>
      </c>
      <c r="G67" t="s">
        <v>187</v>
      </c>
      <c r="H67">
        <v>3</v>
      </c>
      <c r="I67" t="s">
        <v>22</v>
      </c>
      <c r="J67" t="s">
        <v>23</v>
      </c>
      <c r="K67" t="s">
        <v>24</v>
      </c>
      <c r="L67">
        <v>6300</v>
      </c>
      <c r="M67">
        <v>2423</v>
      </c>
      <c r="N67">
        <v>8390</v>
      </c>
      <c r="O67">
        <v>17113</v>
      </c>
      <c r="P67" t="s">
        <v>69</v>
      </c>
      <c r="Q67" t="s">
        <v>70</v>
      </c>
    </row>
    <row r="68" spans="1:17" x14ac:dyDescent="0.35">
      <c r="A68">
        <v>1067</v>
      </c>
      <c r="B68" t="s">
        <v>188</v>
      </c>
      <c r="C68">
        <v>32</v>
      </c>
      <c r="D68" t="s">
        <v>52</v>
      </c>
      <c r="E68" t="s">
        <v>36</v>
      </c>
      <c r="F68" t="s">
        <v>156</v>
      </c>
      <c r="G68" t="s">
        <v>124</v>
      </c>
      <c r="H68">
        <v>10</v>
      </c>
      <c r="I68" t="s">
        <v>22</v>
      </c>
      <c r="J68" t="s">
        <v>40</v>
      </c>
      <c r="K68" t="s">
        <v>41</v>
      </c>
      <c r="L68">
        <v>11376</v>
      </c>
      <c r="M68">
        <v>6511</v>
      </c>
      <c r="N68">
        <v>3787</v>
      </c>
      <c r="O68">
        <v>21674</v>
      </c>
      <c r="P68" t="s">
        <v>34</v>
      </c>
      <c r="Q68" t="s">
        <v>26</v>
      </c>
    </row>
    <row r="69" spans="1:17" x14ac:dyDescent="0.35">
      <c r="A69">
        <v>1068</v>
      </c>
      <c r="B69" t="s">
        <v>189</v>
      </c>
      <c r="C69">
        <v>24</v>
      </c>
      <c r="D69" t="s">
        <v>43</v>
      </c>
      <c r="E69" t="s">
        <v>36</v>
      </c>
      <c r="F69" t="s">
        <v>190</v>
      </c>
      <c r="G69" t="s">
        <v>140</v>
      </c>
      <c r="H69">
        <v>1</v>
      </c>
      <c r="I69" t="s">
        <v>22</v>
      </c>
      <c r="J69" t="s">
        <v>32</v>
      </c>
      <c r="K69" t="s">
        <v>33</v>
      </c>
      <c r="L69">
        <v>10581</v>
      </c>
      <c r="M69">
        <v>3512</v>
      </c>
      <c r="N69">
        <v>6612</v>
      </c>
      <c r="O69">
        <v>20705</v>
      </c>
      <c r="P69" t="s">
        <v>69</v>
      </c>
      <c r="Q69" t="s">
        <v>114</v>
      </c>
    </row>
    <row r="70" spans="1:17" x14ac:dyDescent="0.35">
      <c r="A70">
        <v>1069</v>
      </c>
      <c r="B70" t="s">
        <v>191</v>
      </c>
      <c r="C70">
        <v>25</v>
      </c>
      <c r="D70" t="s">
        <v>52</v>
      </c>
      <c r="E70" t="s">
        <v>19</v>
      </c>
      <c r="F70" t="s">
        <v>192</v>
      </c>
      <c r="G70" t="s">
        <v>190</v>
      </c>
      <c r="H70">
        <v>5</v>
      </c>
      <c r="I70" t="s">
        <v>31</v>
      </c>
      <c r="J70" t="s">
        <v>79</v>
      </c>
      <c r="K70" t="s">
        <v>80</v>
      </c>
      <c r="L70">
        <v>24340</v>
      </c>
      <c r="M70">
        <v>4804</v>
      </c>
      <c r="N70">
        <v>7077</v>
      </c>
      <c r="O70">
        <v>36221</v>
      </c>
      <c r="P70" t="s">
        <v>25</v>
      </c>
      <c r="Q70" t="s">
        <v>26</v>
      </c>
    </row>
    <row r="71" spans="1:17" x14ac:dyDescent="0.35">
      <c r="A71">
        <v>1070</v>
      </c>
      <c r="B71" t="s">
        <v>193</v>
      </c>
      <c r="C71">
        <v>59</v>
      </c>
      <c r="D71" t="s">
        <v>28</v>
      </c>
      <c r="E71" t="s">
        <v>36</v>
      </c>
      <c r="F71" t="s">
        <v>73</v>
      </c>
      <c r="G71" t="s">
        <v>170</v>
      </c>
      <c r="H71">
        <v>3</v>
      </c>
      <c r="I71" t="s">
        <v>31</v>
      </c>
      <c r="J71" t="s">
        <v>32</v>
      </c>
      <c r="K71" t="s">
        <v>33</v>
      </c>
      <c r="L71">
        <v>9734</v>
      </c>
      <c r="M71">
        <v>3734</v>
      </c>
      <c r="N71">
        <v>5502</v>
      </c>
      <c r="O71">
        <v>18970</v>
      </c>
      <c r="P71" t="s">
        <v>25</v>
      </c>
      <c r="Q71"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B373D-1075-4400-B9F7-CD9F299E1232}">
  <dimension ref="A1:R85"/>
  <sheetViews>
    <sheetView topLeftCell="A2" workbookViewId="0">
      <selection activeCell="D21" sqref="D21"/>
    </sheetView>
  </sheetViews>
  <sheetFormatPr defaultRowHeight="14.5" x14ac:dyDescent="0.35"/>
  <cols>
    <col min="1" max="1" width="11.7265625" customWidth="1"/>
    <col min="2" max="2" width="14.81640625" customWidth="1"/>
    <col min="4" max="4" width="12.1796875" customWidth="1"/>
    <col min="5" max="5" width="9" customWidth="1"/>
    <col min="6" max="6" width="16.453125" customWidth="1"/>
    <col min="7" max="7" width="15.90625" customWidth="1"/>
    <col min="8" max="8" width="20.7265625" customWidth="1"/>
    <col min="9" max="9" width="18.1796875" customWidth="1"/>
    <col min="10" max="10" width="22.08984375" customWidth="1"/>
    <col min="11" max="11" width="18.54296875" customWidth="1"/>
    <col min="12" max="12" width="15.36328125" customWidth="1"/>
    <col min="13" max="13" width="13.36328125" customWidth="1"/>
    <col min="14" max="14" width="18.08984375" customWidth="1"/>
    <col min="15" max="15" width="10.54296875" customWidth="1"/>
    <col min="16" max="16" width="16.1796875" customWidth="1"/>
    <col min="17" max="17" width="19.08984375" customWidth="1"/>
    <col min="18" max="18" width="19.6328125" customWidth="1"/>
  </cols>
  <sheetData>
    <row r="1" spans="1:18" x14ac:dyDescent="0.35">
      <c r="A1" t="s">
        <v>0</v>
      </c>
      <c r="B1" t="s">
        <v>1</v>
      </c>
      <c r="C1" t="s">
        <v>2</v>
      </c>
      <c r="D1" t="s">
        <v>3</v>
      </c>
      <c r="E1" t="s">
        <v>4</v>
      </c>
      <c r="F1" t="s">
        <v>5</v>
      </c>
      <c r="G1" t="s">
        <v>6</v>
      </c>
      <c r="H1" t="s">
        <v>7</v>
      </c>
      <c r="I1" t="s">
        <v>8</v>
      </c>
      <c r="J1" t="s">
        <v>195</v>
      </c>
      <c r="K1" t="s">
        <v>194</v>
      </c>
      <c r="L1" t="s">
        <v>10</v>
      </c>
      <c r="M1" t="s">
        <v>11</v>
      </c>
      <c r="N1" t="s">
        <v>12</v>
      </c>
      <c r="O1" t="s">
        <v>13</v>
      </c>
      <c r="P1" t="s">
        <v>14</v>
      </c>
      <c r="Q1" t="s">
        <v>15</v>
      </c>
      <c r="R1" t="s">
        <v>16</v>
      </c>
    </row>
    <row r="2" spans="1:18" x14ac:dyDescent="0.35">
      <c r="A2" s="1">
        <v>1001</v>
      </c>
      <c r="B2" t="s">
        <v>17</v>
      </c>
      <c r="C2" s="1">
        <v>49</v>
      </c>
      <c r="D2" s="1" t="s">
        <v>18</v>
      </c>
      <c r="E2" t="s">
        <v>19</v>
      </c>
      <c r="F2" t="s">
        <v>20</v>
      </c>
      <c r="G2" t="s">
        <v>21</v>
      </c>
      <c r="H2" s="1">
        <v>2</v>
      </c>
      <c r="I2" t="s">
        <v>22</v>
      </c>
      <c r="J2" t="str">
        <f>TRIM(PROPER(Table1[[#This Row],[Department ]]))</f>
        <v>Cardiology</v>
      </c>
      <c r="K2" t="s">
        <v>23</v>
      </c>
      <c r="L2" t="s">
        <v>24</v>
      </c>
      <c r="M2" s="1">
        <v>18720</v>
      </c>
      <c r="N2" s="1">
        <v>4058</v>
      </c>
      <c r="O2" s="1">
        <v>5079</v>
      </c>
      <c r="P2" s="1">
        <v>27857</v>
      </c>
      <c r="Q2" t="s">
        <v>25</v>
      </c>
      <c r="R2" t="s">
        <v>26</v>
      </c>
    </row>
    <row r="3" spans="1:18" x14ac:dyDescent="0.35">
      <c r="A3" s="1">
        <v>1002</v>
      </c>
      <c r="B3" t="s">
        <v>27</v>
      </c>
      <c r="C3" s="1">
        <v>60</v>
      </c>
      <c r="D3" s="1" t="s">
        <v>28</v>
      </c>
      <c r="E3" t="s">
        <v>19</v>
      </c>
      <c r="F3" t="s">
        <v>29</v>
      </c>
      <c r="G3" t="s">
        <v>30</v>
      </c>
      <c r="H3" s="1">
        <v>8</v>
      </c>
      <c r="I3" t="s">
        <v>31</v>
      </c>
      <c r="J3" t="str">
        <f>TRIM(PROPER(Table1[[#This Row],[Department ]]))</f>
        <v>Gynecology</v>
      </c>
      <c r="K3" t="s">
        <v>32</v>
      </c>
      <c r="L3" t="s">
        <v>33</v>
      </c>
      <c r="M3" s="1">
        <v>20303</v>
      </c>
      <c r="N3" s="1">
        <v>3591</v>
      </c>
      <c r="O3" s="1">
        <v>6340</v>
      </c>
      <c r="P3" s="1">
        <v>30234</v>
      </c>
      <c r="Q3" t="s">
        <v>34</v>
      </c>
      <c r="R3" t="s">
        <v>26</v>
      </c>
    </row>
    <row r="4" spans="1:18" x14ac:dyDescent="0.35">
      <c r="A4" s="1">
        <v>1003</v>
      </c>
      <c r="B4" t="s">
        <v>35</v>
      </c>
      <c r="C4" s="1">
        <v>43</v>
      </c>
      <c r="D4" s="1" t="s">
        <v>18</v>
      </c>
      <c r="E4" t="s">
        <v>36</v>
      </c>
      <c r="F4" t="s">
        <v>37</v>
      </c>
      <c r="G4" t="s">
        <v>38</v>
      </c>
      <c r="H4" s="1">
        <v>5</v>
      </c>
      <c r="I4" t="s">
        <v>39</v>
      </c>
      <c r="J4" t="str">
        <f>TRIM(PROPER(Table1[[#This Row],[Department ]]))</f>
        <v>General Medicine</v>
      </c>
      <c r="K4" t="s">
        <v>40</v>
      </c>
      <c r="L4" t="s">
        <v>41</v>
      </c>
      <c r="M4" s="1">
        <v>16184</v>
      </c>
      <c r="N4" s="1">
        <v>3583</v>
      </c>
      <c r="O4" s="1">
        <v>5990</v>
      </c>
      <c r="P4" s="1">
        <v>25757</v>
      </c>
      <c r="Q4" t="s">
        <v>25</v>
      </c>
      <c r="R4" t="s">
        <v>26</v>
      </c>
    </row>
    <row r="5" spans="1:18" x14ac:dyDescent="0.35">
      <c r="A5" s="1">
        <v>1004</v>
      </c>
      <c r="B5" t="s">
        <v>42</v>
      </c>
      <c r="C5" s="1">
        <v>18</v>
      </c>
      <c r="D5" s="1" t="s">
        <v>43</v>
      </c>
      <c r="E5" t="s">
        <v>19</v>
      </c>
      <c r="F5" t="s">
        <v>38</v>
      </c>
      <c r="G5" t="s">
        <v>44</v>
      </c>
      <c r="H5" s="1">
        <v>3</v>
      </c>
      <c r="I5" t="s">
        <v>39</v>
      </c>
      <c r="J5" t="str">
        <f>TRIM(PROPER(Table1[[#This Row],[Department ]]))</f>
        <v>Gynecology</v>
      </c>
      <c r="K5" t="s">
        <v>32</v>
      </c>
      <c r="L5" t="s">
        <v>33</v>
      </c>
      <c r="M5" s="1">
        <v>19302</v>
      </c>
      <c r="N5" s="1">
        <v>5016</v>
      </c>
      <c r="O5" s="1">
        <v>5844</v>
      </c>
      <c r="P5" s="1">
        <v>30162</v>
      </c>
      <c r="Q5" t="s">
        <v>34</v>
      </c>
      <c r="R5" t="s">
        <v>26</v>
      </c>
    </row>
    <row r="6" spans="1:18" x14ac:dyDescent="0.35">
      <c r="A6" s="1">
        <v>1005</v>
      </c>
      <c r="B6" t="s">
        <v>45</v>
      </c>
      <c r="C6" s="1">
        <v>62</v>
      </c>
      <c r="D6" s="1" t="s">
        <v>28</v>
      </c>
      <c r="E6" t="s">
        <v>19</v>
      </c>
      <c r="F6" t="s">
        <v>46</v>
      </c>
      <c r="G6" t="s">
        <v>47</v>
      </c>
      <c r="H6" s="1">
        <v>9</v>
      </c>
      <c r="I6" t="s">
        <v>22</v>
      </c>
      <c r="J6" t="str">
        <f>TRIM(PROPER(Table1[[#This Row],[Department ]]))</f>
        <v>Neurology</v>
      </c>
      <c r="K6" t="s">
        <v>48</v>
      </c>
      <c r="L6" t="s">
        <v>49</v>
      </c>
      <c r="M6" s="1">
        <v>16626</v>
      </c>
      <c r="N6" s="1">
        <v>3167</v>
      </c>
      <c r="O6" s="1">
        <v>6486</v>
      </c>
      <c r="P6" s="1">
        <v>26279</v>
      </c>
      <c r="Q6" t="s">
        <v>50</v>
      </c>
      <c r="R6" t="s">
        <v>26</v>
      </c>
    </row>
    <row r="7" spans="1:18" x14ac:dyDescent="0.35">
      <c r="A7" s="1">
        <v>1006</v>
      </c>
      <c r="B7" t="s">
        <v>51</v>
      </c>
      <c r="C7" s="1">
        <v>25</v>
      </c>
      <c r="D7" s="1" t="s">
        <v>52</v>
      </c>
      <c r="E7" t="s">
        <v>36</v>
      </c>
      <c r="F7" t="s">
        <v>53</v>
      </c>
      <c r="G7" t="s">
        <v>54</v>
      </c>
      <c r="H7" s="1">
        <v>5</v>
      </c>
      <c r="I7" t="s">
        <v>39</v>
      </c>
      <c r="J7" t="str">
        <f>TRIM(PROPER(Table1[[#This Row],[Department ]]))</f>
        <v>Cardiology</v>
      </c>
      <c r="K7" t="s">
        <v>23</v>
      </c>
      <c r="L7" t="s">
        <v>24</v>
      </c>
      <c r="M7" s="1">
        <v>15445</v>
      </c>
      <c r="N7" s="1">
        <v>6615</v>
      </c>
      <c r="O7" s="1">
        <v>4029</v>
      </c>
      <c r="P7" s="1">
        <v>26089</v>
      </c>
      <c r="Q7" t="s">
        <v>50</v>
      </c>
      <c r="R7" t="s">
        <v>26</v>
      </c>
    </row>
    <row r="8" spans="1:18" x14ac:dyDescent="0.35">
      <c r="A8" s="1">
        <v>1007</v>
      </c>
      <c r="B8" t="s">
        <v>55</v>
      </c>
      <c r="C8" s="1">
        <v>61</v>
      </c>
      <c r="D8" s="1" t="s">
        <v>28</v>
      </c>
      <c r="E8" t="s">
        <v>36</v>
      </c>
      <c r="F8" t="s">
        <v>56</v>
      </c>
      <c r="G8" t="s">
        <v>57</v>
      </c>
      <c r="H8" s="1">
        <v>2</v>
      </c>
      <c r="I8" t="s">
        <v>39</v>
      </c>
      <c r="J8" t="str">
        <f>TRIM(PROPER(Table1[[#This Row],[Department ]]))</f>
        <v>Neurology</v>
      </c>
      <c r="K8" t="s">
        <v>48</v>
      </c>
      <c r="L8" t="s">
        <v>49</v>
      </c>
      <c r="M8" s="1">
        <v>23259</v>
      </c>
      <c r="N8" s="1">
        <v>5742</v>
      </c>
      <c r="O8" s="1">
        <v>4617</v>
      </c>
      <c r="P8" s="1">
        <v>33618</v>
      </c>
      <c r="Q8" t="s">
        <v>34</v>
      </c>
      <c r="R8" t="s">
        <v>26</v>
      </c>
    </row>
    <row r="9" spans="1:18" x14ac:dyDescent="0.35">
      <c r="A9" s="1">
        <v>1008</v>
      </c>
      <c r="B9" t="s">
        <v>58</v>
      </c>
      <c r="C9" s="1">
        <v>57</v>
      </c>
      <c r="D9" s="1" t="s">
        <v>28</v>
      </c>
      <c r="E9" t="s">
        <v>19</v>
      </c>
      <c r="F9" t="s">
        <v>59</v>
      </c>
      <c r="G9" t="s">
        <v>60</v>
      </c>
      <c r="H9" s="1">
        <v>9</v>
      </c>
      <c r="I9" t="s">
        <v>61</v>
      </c>
      <c r="J9" t="str">
        <f>TRIM(PROPER(Table1[[#This Row],[Department ]]))</f>
        <v>Cardiology</v>
      </c>
      <c r="K9" t="s">
        <v>23</v>
      </c>
      <c r="L9" t="s">
        <v>24</v>
      </c>
      <c r="M9" s="1">
        <v>10444</v>
      </c>
      <c r="N9" s="1">
        <v>2833</v>
      </c>
      <c r="O9" s="1">
        <v>3640</v>
      </c>
      <c r="P9" s="1">
        <v>16917</v>
      </c>
      <c r="Q9" t="s">
        <v>50</v>
      </c>
      <c r="R9" t="s">
        <v>26</v>
      </c>
    </row>
    <row r="10" spans="1:18" x14ac:dyDescent="0.35">
      <c r="A10" s="1">
        <v>1009</v>
      </c>
      <c r="B10" t="s">
        <v>62</v>
      </c>
      <c r="C10" s="1">
        <v>53</v>
      </c>
      <c r="D10" s="1" t="s">
        <v>28</v>
      </c>
      <c r="E10" t="s">
        <v>19</v>
      </c>
      <c r="F10" t="s">
        <v>63</v>
      </c>
      <c r="G10" t="s">
        <v>64</v>
      </c>
      <c r="H10" s="1">
        <v>1</v>
      </c>
      <c r="I10" t="s">
        <v>65</v>
      </c>
      <c r="J10" t="str">
        <f>TRIM(PROPER(Table1[[#This Row],[Department ]]))</f>
        <v>Neurology</v>
      </c>
      <c r="K10" t="s">
        <v>48</v>
      </c>
      <c r="L10" t="s">
        <v>49</v>
      </c>
      <c r="M10" s="1">
        <v>13171</v>
      </c>
      <c r="N10" s="1">
        <v>3455</v>
      </c>
      <c r="O10" s="1">
        <v>6147</v>
      </c>
      <c r="P10" s="1">
        <v>22773</v>
      </c>
      <c r="Q10" t="s">
        <v>34</v>
      </c>
      <c r="R10" t="s">
        <v>26</v>
      </c>
    </row>
    <row r="11" spans="1:18" x14ac:dyDescent="0.35">
      <c r="A11" s="1">
        <v>1010</v>
      </c>
      <c r="B11" t="s">
        <v>66</v>
      </c>
      <c r="C11" s="1">
        <v>34</v>
      </c>
      <c r="D11" s="1" t="s">
        <v>52</v>
      </c>
      <c r="E11" t="s">
        <v>19</v>
      </c>
      <c r="F11" t="s">
        <v>67</v>
      </c>
      <c r="G11" t="s">
        <v>68</v>
      </c>
      <c r="H11" s="1">
        <v>6</v>
      </c>
      <c r="I11" t="s">
        <v>31</v>
      </c>
      <c r="J11" t="str">
        <f>TRIM(PROPER(Table1[[#This Row],[Department ]]))</f>
        <v>General Medicine</v>
      </c>
      <c r="K11" t="s">
        <v>40</v>
      </c>
      <c r="L11" t="s">
        <v>41</v>
      </c>
      <c r="M11" s="1">
        <v>8234</v>
      </c>
      <c r="N11" s="1">
        <v>3258</v>
      </c>
      <c r="O11" s="1">
        <v>6511</v>
      </c>
      <c r="P11" s="1">
        <v>18003</v>
      </c>
      <c r="Q11" t="s">
        <v>69</v>
      </c>
      <c r="R11" t="s">
        <v>70</v>
      </c>
    </row>
    <row r="12" spans="1:18" x14ac:dyDescent="0.35">
      <c r="A12" s="1">
        <v>1011</v>
      </c>
      <c r="B12" t="s">
        <v>71</v>
      </c>
      <c r="C12" s="1">
        <v>54</v>
      </c>
      <c r="D12" s="1" t="s">
        <v>28</v>
      </c>
      <c r="E12" t="s">
        <v>36</v>
      </c>
      <c r="F12" t="s">
        <v>72</v>
      </c>
      <c r="G12" t="s">
        <v>73</v>
      </c>
      <c r="H12" s="1">
        <v>4</v>
      </c>
      <c r="I12" t="s">
        <v>31</v>
      </c>
      <c r="J12" t="str">
        <f>TRIM(PROPER(Table1[[#This Row],[Department ]]))</f>
        <v>General Medicine</v>
      </c>
      <c r="K12" t="s">
        <v>40</v>
      </c>
      <c r="L12" t="s">
        <v>41</v>
      </c>
      <c r="M12" s="1">
        <v>16401</v>
      </c>
      <c r="N12" s="1">
        <v>3310</v>
      </c>
      <c r="O12" s="1">
        <v>3796</v>
      </c>
      <c r="P12" s="1">
        <v>23507</v>
      </c>
      <c r="Q12" t="s">
        <v>69</v>
      </c>
      <c r="R12" t="s">
        <v>74</v>
      </c>
    </row>
    <row r="13" spans="1:18" x14ac:dyDescent="0.35">
      <c r="A13" s="1">
        <v>1012</v>
      </c>
      <c r="B13" t="s">
        <v>75</v>
      </c>
      <c r="C13" s="1">
        <v>54</v>
      </c>
      <c r="D13" s="1" t="s">
        <v>28</v>
      </c>
      <c r="E13" t="s">
        <v>19</v>
      </c>
      <c r="F13" t="s">
        <v>76</v>
      </c>
      <c r="G13" t="s">
        <v>21</v>
      </c>
      <c r="H13" s="1">
        <v>9</v>
      </c>
      <c r="I13" t="s">
        <v>22</v>
      </c>
      <c r="J13" t="str">
        <f>TRIM(PROPER(Table1[[#This Row],[Department ]]))</f>
        <v>Gynecology</v>
      </c>
      <c r="K13" t="s">
        <v>32</v>
      </c>
      <c r="L13" t="s">
        <v>33</v>
      </c>
      <c r="M13" s="1">
        <v>24266</v>
      </c>
      <c r="N13" s="1">
        <v>4765</v>
      </c>
      <c r="O13" s="1">
        <v>4379</v>
      </c>
      <c r="P13" s="1">
        <v>33410</v>
      </c>
      <c r="Q13" t="s">
        <v>34</v>
      </c>
      <c r="R13" t="s">
        <v>26</v>
      </c>
    </row>
    <row r="14" spans="1:18" x14ac:dyDescent="0.35">
      <c r="A14" s="1">
        <v>1013</v>
      </c>
      <c r="B14" t="s">
        <v>77</v>
      </c>
      <c r="C14" s="1">
        <v>69</v>
      </c>
      <c r="D14" s="1" t="s">
        <v>28</v>
      </c>
      <c r="E14" t="s">
        <v>36</v>
      </c>
      <c r="F14" t="s">
        <v>78</v>
      </c>
      <c r="G14" t="s">
        <v>76</v>
      </c>
      <c r="H14" s="1">
        <v>3</v>
      </c>
      <c r="I14" t="s">
        <v>22</v>
      </c>
      <c r="J14" t="str">
        <f>TRIM(PROPER(Table1[[#This Row],[Department ]]))</f>
        <v>Orthopedics</v>
      </c>
      <c r="K14" t="s">
        <v>79</v>
      </c>
      <c r="L14" t="s">
        <v>80</v>
      </c>
      <c r="M14" s="1">
        <v>23272</v>
      </c>
      <c r="N14" s="1">
        <v>2125</v>
      </c>
      <c r="O14" s="1">
        <v>3984</v>
      </c>
      <c r="P14" s="1">
        <v>29381</v>
      </c>
      <c r="Q14" t="s">
        <v>34</v>
      </c>
      <c r="R14" t="s">
        <v>26</v>
      </c>
    </row>
    <row r="15" spans="1:18" x14ac:dyDescent="0.35">
      <c r="A15" s="1">
        <v>1014</v>
      </c>
      <c r="B15" t="s">
        <v>81</v>
      </c>
      <c r="C15" s="1">
        <v>35</v>
      </c>
      <c r="D15" s="1" t="s">
        <v>18</v>
      </c>
      <c r="E15" t="s">
        <v>36</v>
      </c>
      <c r="F15" t="s">
        <v>82</v>
      </c>
      <c r="G15" t="s">
        <v>83</v>
      </c>
      <c r="H15" s="1">
        <v>9</v>
      </c>
      <c r="I15" t="s">
        <v>31</v>
      </c>
      <c r="J15" t="str">
        <f>TRIM(PROPER(Table1[[#This Row],[Department ]]))</f>
        <v>Orthopedics</v>
      </c>
      <c r="K15" t="s">
        <v>79</v>
      </c>
      <c r="L15" t="s">
        <v>80</v>
      </c>
      <c r="M15" s="1">
        <v>18659</v>
      </c>
      <c r="N15" s="1">
        <v>7183</v>
      </c>
      <c r="O15" s="1">
        <v>4835</v>
      </c>
      <c r="P15" s="1">
        <v>30677</v>
      </c>
      <c r="Q15" t="s">
        <v>50</v>
      </c>
      <c r="R15" t="s">
        <v>26</v>
      </c>
    </row>
    <row r="16" spans="1:18" x14ac:dyDescent="0.35">
      <c r="A16" s="1">
        <v>1015</v>
      </c>
      <c r="B16" t="s">
        <v>84</v>
      </c>
      <c r="C16" s="1">
        <v>69</v>
      </c>
      <c r="D16" s="1" t="s">
        <v>28</v>
      </c>
      <c r="E16" t="s">
        <v>19</v>
      </c>
      <c r="F16" t="s">
        <v>67</v>
      </c>
      <c r="G16" t="s">
        <v>83</v>
      </c>
      <c r="H16" s="1">
        <v>7</v>
      </c>
      <c r="I16" t="s">
        <v>31</v>
      </c>
      <c r="J16" t="str">
        <f>TRIM(PROPER(Table1[[#This Row],[Department ]]))</f>
        <v>Orthopedics</v>
      </c>
      <c r="K16" t="s">
        <v>79</v>
      </c>
      <c r="L16" t="s">
        <v>80</v>
      </c>
      <c r="M16" s="1">
        <v>21178</v>
      </c>
      <c r="N16" s="1">
        <v>3331</v>
      </c>
      <c r="O16" s="1">
        <v>3606</v>
      </c>
      <c r="P16" s="1">
        <v>28115</v>
      </c>
      <c r="Q16" t="s">
        <v>34</v>
      </c>
      <c r="R16" t="s">
        <v>26</v>
      </c>
    </row>
    <row r="17" spans="1:18" x14ac:dyDescent="0.35">
      <c r="A17" s="1">
        <v>1016</v>
      </c>
      <c r="B17" t="s">
        <v>85</v>
      </c>
      <c r="C17" s="1">
        <v>52</v>
      </c>
      <c r="D17" s="1" t="s">
        <v>28</v>
      </c>
      <c r="E17" t="s">
        <v>19</v>
      </c>
      <c r="F17" t="s">
        <v>86</v>
      </c>
      <c r="G17" t="s">
        <v>87</v>
      </c>
      <c r="H17" s="1">
        <v>7</v>
      </c>
      <c r="I17" t="s">
        <v>61</v>
      </c>
      <c r="J17" t="str">
        <f>TRIM(PROPER(Table1[[#This Row],[Department ]]))</f>
        <v>Orthopedics</v>
      </c>
      <c r="K17" t="s">
        <v>79</v>
      </c>
      <c r="L17" t="s">
        <v>80</v>
      </c>
      <c r="M17" s="1">
        <v>16258</v>
      </c>
      <c r="N17" s="1">
        <v>6058</v>
      </c>
      <c r="O17" s="1">
        <v>6287</v>
      </c>
      <c r="P17" s="1">
        <v>28603</v>
      </c>
      <c r="Q17" t="s">
        <v>25</v>
      </c>
      <c r="R17" t="s">
        <v>26</v>
      </c>
    </row>
    <row r="18" spans="1:18" x14ac:dyDescent="0.35">
      <c r="A18" s="1">
        <v>1017</v>
      </c>
      <c r="B18" t="s">
        <v>88</v>
      </c>
      <c r="C18" s="1">
        <v>62</v>
      </c>
      <c r="D18" s="1" t="s">
        <v>28</v>
      </c>
      <c r="E18" t="s">
        <v>36</v>
      </c>
      <c r="F18" t="s">
        <v>67</v>
      </c>
      <c r="G18" t="s">
        <v>89</v>
      </c>
      <c r="H18" s="1">
        <v>3</v>
      </c>
      <c r="I18" t="s">
        <v>31</v>
      </c>
      <c r="J18" t="str">
        <f>TRIM(PROPER(Table1[[#This Row],[Department ]]))</f>
        <v>Cardiology</v>
      </c>
      <c r="K18" t="s">
        <v>23</v>
      </c>
      <c r="L18" t="s">
        <v>24</v>
      </c>
      <c r="M18" s="1">
        <v>10972</v>
      </c>
      <c r="N18" s="1">
        <v>3478</v>
      </c>
      <c r="O18" s="1">
        <v>7781</v>
      </c>
      <c r="P18" s="1">
        <v>22231</v>
      </c>
      <c r="Q18" t="s">
        <v>69</v>
      </c>
      <c r="R18" t="s">
        <v>70</v>
      </c>
    </row>
    <row r="19" spans="1:18" x14ac:dyDescent="0.35">
      <c r="A19" s="1">
        <v>1018</v>
      </c>
      <c r="B19" t="s">
        <v>90</v>
      </c>
      <c r="C19" s="1">
        <v>56</v>
      </c>
      <c r="D19" s="1" t="s">
        <v>28</v>
      </c>
      <c r="E19" t="s">
        <v>36</v>
      </c>
      <c r="F19" t="s">
        <v>91</v>
      </c>
      <c r="G19" t="s">
        <v>92</v>
      </c>
      <c r="H19" s="1">
        <v>7</v>
      </c>
      <c r="I19" t="s">
        <v>39</v>
      </c>
      <c r="J19" t="str">
        <f>TRIM(PROPER(Table1[[#This Row],[Department ]]))</f>
        <v>Neurology</v>
      </c>
      <c r="K19" t="s">
        <v>48</v>
      </c>
      <c r="L19" t="s">
        <v>49</v>
      </c>
      <c r="M19" s="1">
        <v>7465</v>
      </c>
      <c r="N19" s="1">
        <v>5216</v>
      </c>
      <c r="O19" s="1">
        <v>6356</v>
      </c>
      <c r="P19" s="1">
        <v>19037</v>
      </c>
      <c r="Q19" t="s">
        <v>25</v>
      </c>
      <c r="R19" t="s">
        <v>26</v>
      </c>
    </row>
    <row r="20" spans="1:18" x14ac:dyDescent="0.35">
      <c r="A20" s="1">
        <v>1019</v>
      </c>
      <c r="B20" t="s">
        <v>93</v>
      </c>
      <c r="C20" s="1">
        <v>22</v>
      </c>
      <c r="D20" s="1" t="s">
        <v>43</v>
      </c>
      <c r="E20" t="s">
        <v>36</v>
      </c>
      <c r="F20" t="s">
        <v>46</v>
      </c>
      <c r="G20" t="s">
        <v>94</v>
      </c>
      <c r="H20" s="1">
        <v>2</v>
      </c>
      <c r="I20" t="s">
        <v>22</v>
      </c>
      <c r="J20" t="str">
        <f>TRIM(PROPER(Table1[[#This Row],[Department ]]))</f>
        <v>General Medicine</v>
      </c>
      <c r="K20" t="s">
        <v>40</v>
      </c>
      <c r="L20" t="s">
        <v>41</v>
      </c>
      <c r="M20" s="1">
        <v>9251</v>
      </c>
      <c r="N20" s="1">
        <v>7937</v>
      </c>
      <c r="O20" s="1">
        <v>7884</v>
      </c>
      <c r="P20" s="1">
        <v>25072</v>
      </c>
      <c r="Q20" t="s">
        <v>25</v>
      </c>
      <c r="R20" t="s">
        <v>26</v>
      </c>
    </row>
    <row r="21" spans="1:18" x14ac:dyDescent="0.35">
      <c r="A21" s="1">
        <v>1020</v>
      </c>
      <c r="B21" t="s">
        <v>95</v>
      </c>
      <c r="C21" s="1">
        <v>58</v>
      </c>
      <c r="D21" s="1" t="s">
        <v>28</v>
      </c>
      <c r="E21" t="s">
        <v>36</v>
      </c>
      <c r="F21" t="s">
        <v>96</v>
      </c>
      <c r="G21" t="s">
        <v>29</v>
      </c>
      <c r="H21" s="1">
        <v>5</v>
      </c>
      <c r="I21" t="s">
        <v>39</v>
      </c>
      <c r="J21" t="str">
        <f>TRIM(PROPER(Table1[[#This Row],[Department ]]))</f>
        <v>Gynecology</v>
      </c>
      <c r="K21" t="s">
        <v>32</v>
      </c>
      <c r="L21" t="s">
        <v>33</v>
      </c>
      <c r="M21" s="1">
        <v>8683</v>
      </c>
      <c r="N21" s="1">
        <v>6065</v>
      </c>
      <c r="O21" s="1">
        <v>4041</v>
      </c>
      <c r="P21" s="1">
        <v>18789</v>
      </c>
      <c r="Q21" t="s">
        <v>50</v>
      </c>
      <c r="R21" t="s">
        <v>26</v>
      </c>
    </row>
    <row r="22" spans="1:18" x14ac:dyDescent="0.35">
      <c r="A22" s="1">
        <v>1021</v>
      </c>
      <c r="B22" t="s">
        <v>97</v>
      </c>
      <c r="C22" s="1">
        <v>31</v>
      </c>
      <c r="D22" s="1" t="s">
        <v>52</v>
      </c>
      <c r="E22" t="s">
        <v>19</v>
      </c>
      <c r="F22" t="s">
        <v>98</v>
      </c>
      <c r="G22" t="s">
        <v>99</v>
      </c>
      <c r="H22" s="1">
        <v>4</v>
      </c>
      <c r="I22" t="s">
        <v>31</v>
      </c>
      <c r="J22" t="str">
        <f>TRIM(PROPER(Table1[[#This Row],[Department ]]))</f>
        <v>General Medicine</v>
      </c>
      <c r="K22" t="s">
        <v>40</v>
      </c>
      <c r="L22" t="s">
        <v>41</v>
      </c>
      <c r="M22" s="1">
        <v>19252</v>
      </c>
      <c r="N22" s="1">
        <v>6803</v>
      </c>
      <c r="O22" s="1">
        <v>4326</v>
      </c>
      <c r="P22" s="1">
        <v>30381</v>
      </c>
      <c r="Q22" t="s">
        <v>50</v>
      </c>
      <c r="R22" t="s">
        <v>26</v>
      </c>
    </row>
    <row r="23" spans="1:18" x14ac:dyDescent="0.35">
      <c r="A23" s="1">
        <v>1022</v>
      </c>
      <c r="B23" t="s">
        <v>100</v>
      </c>
      <c r="C23" s="1">
        <v>73</v>
      </c>
      <c r="D23" s="1" t="s">
        <v>28</v>
      </c>
      <c r="E23" t="s">
        <v>36</v>
      </c>
      <c r="F23" t="s">
        <v>101</v>
      </c>
      <c r="G23" t="s">
        <v>21</v>
      </c>
      <c r="H23" s="1">
        <v>3</v>
      </c>
      <c r="I23" t="s">
        <v>22</v>
      </c>
      <c r="J23" t="str">
        <f>TRIM(PROPER(Table1[[#This Row],[Department ]]))</f>
        <v>Gynecology</v>
      </c>
      <c r="K23" t="s">
        <v>32</v>
      </c>
      <c r="L23" t="s">
        <v>33</v>
      </c>
      <c r="M23" s="1">
        <v>19670</v>
      </c>
      <c r="N23" s="1">
        <v>7139</v>
      </c>
      <c r="O23" s="1">
        <v>4327</v>
      </c>
      <c r="P23" s="1">
        <v>31136</v>
      </c>
      <c r="Q23" t="s">
        <v>50</v>
      </c>
      <c r="R23" t="s">
        <v>26</v>
      </c>
    </row>
    <row r="24" spans="1:18" x14ac:dyDescent="0.35">
      <c r="A24" s="1">
        <v>1023</v>
      </c>
      <c r="B24" t="s">
        <v>102</v>
      </c>
      <c r="C24" s="1">
        <v>68</v>
      </c>
      <c r="D24" s="1" t="s">
        <v>28</v>
      </c>
      <c r="E24" t="s">
        <v>36</v>
      </c>
      <c r="F24" t="s">
        <v>30</v>
      </c>
      <c r="G24" t="s">
        <v>72</v>
      </c>
      <c r="H24" s="1">
        <v>8</v>
      </c>
      <c r="I24" t="s">
        <v>31</v>
      </c>
      <c r="J24" t="str">
        <f>TRIM(PROPER(Table1[[#This Row],[Department ]]))</f>
        <v>Orthopedics</v>
      </c>
      <c r="K24" t="s">
        <v>79</v>
      </c>
      <c r="L24" t="s">
        <v>80</v>
      </c>
      <c r="M24" s="1">
        <v>21924</v>
      </c>
      <c r="N24" s="1">
        <v>7611</v>
      </c>
      <c r="O24" s="1">
        <v>3801</v>
      </c>
      <c r="P24" s="1">
        <v>33336</v>
      </c>
      <c r="Q24" t="s">
        <v>25</v>
      </c>
      <c r="R24" t="s">
        <v>26</v>
      </c>
    </row>
    <row r="25" spans="1:18" x14ac:dyDescent="0.35">
      <c r="A25" s="1">
        <v>1024</v>
      </c>
      <c r="B25" t="s">
        <v>103</v>
      </c>
      <c r="C25" s="1">
        <v>63</v>
      </c>
      <c r="D25" s="1" t="s">
        <v>28</v>
      </c>
      <c r="E25" t="s">
        <v>19</v>
      </c>
      <c r="F25" t="s">
        <v>21</v>
      </c>
      <c r="G25" t="s">
        <v>104</v>
      </c>
      <c r="H25" s="1">
        <v>4</v>
      </c>
      <c r="I25" t="s">
        <v>22</v>
      </c>
      <c r="J25" t="str">
        <f>TRIM(PROPER(Table1[[#This Row],[Department ]]))</f>
        <v>Orthopedics</v>
      </c>
      <c r="K25" t="s">
        <v>79</v>
      </c>
      <c r="L25" t="s">
        <v>80</v>
      </c>
      <c r="M25" s="1">
        <v>7023</v>
      </c>
      <c r="N25" s="1">
        <v>3249</v>
      </c>
      <c r="O25" s="1">
        <v>8542</v>
      </c>
      <c r="P25" s="1">
        <v>18814</v>
      </c>
      <c r="Q25" t="s">
        <v>34</v>
      </c>
      <c r="R25" t="s">
        <v>26</v>
      </c>
    </row>
    <row r="26" spans="1:18" x14ac:dyDescent="0.35">
      <c r="A26" s="1">
        <v>1025</v>
      </c>
      <c r="B26" t="s">
        <v>105</v>
      </c>
      <c r="C26" s="1">
        <v>38</v>
      </c>
      <c r="D26" s="1" t="s">
        <v>18</v>
      </c>
      <c r="E26" t="s">
        <v>36</v>
      </c>
      <c r="F26" t="s">
        <v>106</v>
      </c>
      <c r="G26" t="s">
        <v>107</v>
      </c>
      <c r="H26" s="1">
        <v>2</v>
      </c>
      <c r="I26" t="s">
        <v>31</v>
      </c>
      <c r="J26" t="str">
        <f>TRIM(PROPER(Table1[[#This Row],[Department ]]))</f>
        <v>Cardiology</v>
      </c>
      <c r="K26" t="s">
        <v>23</v>
      </c>
      <c r="L26" t="s">
        <v>24</v>
      </c>
      <c r="M26" s="1">
        <v>9910</v>
      </c>
      <c r="N26" s="1">
        <v>5754</v>
      </c>
      <c r="O26" s="1">
        <v>8828</v>
      </c>
      <c r="P26" s="1">
        <v>24492</v>
      </c>
      <c r="Q26" t="s">
        <v>50</v>
      </c>
      <c r="R26" t="s">
        <v>26</v>
      </c>
    </row>
    <row r="27" spans="1:18" x14ac:dyDescent="0.35">
      <c r="A27" s="1">
        <v>1026</v>
      </c>
      <c r="B27" t="s">
        <v>108</v>
      </c>
      <c r="C27" s="1">
        <v>29</v>
      </c>
      <c r="D27" s="1" t="s">
        <v>52</v>
      </c>
      <c r="E27" t="s">
        <v>36</v>
      </c>
      <c r="F27" t="s">
        <v>109</v>
      </c>
      <c r="G27" t="s">
        <v>110</v>
      </c>
      <c r="H27" s="1">
        <v>8</v>
      </c>
      <c r="I27" t="s">
        <v>31</v>
      </c>
      <c r="J27" t="str">
        <f>TRIM(PROPER(Table1[[#This Row],[Department ]]))</f>
        <v>General Medicine</v>
      </c>
      <c r="K27" t="s">
        <v>40</v>
      </c>
      <c r="L27" t="s">
        <v>41</v>
      </c>
      <c r="M27" s="1">
        <v>19694</v>
      </c>
      <c r="N27" s="1">
        <v>2395</v>
      </c>
      <c r="O27" s="1">
        <v>6918</v>
      </c>
      <c r="P27" s="1">
        <v>29007</v>
      </c>
      <c r="Q27" t="s">
        <v>25</v>
      </c>
      <c r="R27" t="s">
        <v>26</v>
      </c>
    </row>
    <row r="28" spans="1:18" x14ac:dyDescent="0.35">
      <c r="A28" s="1">
        <v>1027</v>
      </c>
      <c r="B28" t="s">
        <v>111</v>
      </c>
      <c r="C28" s="1">
        <v>63</v>
      </c>
      <c r="D28" s="1" t="s">
        <v>28</v>
      </c>
      <c r="E28" t="s">
        <v>19</v>
      </c>
      <c r="F28" t="s">
        <v>112</v>
      </c>
      <c r="G28" t="s">
        <v>113</v>
      </c>
      <c r="H28" s="1">
        <v>3</v>
      </c>
      <c r="I28" t="s">
        <v>61</v>
      </c>
      <c r="J28" t="str">
        <f>TRIM(PROPER(Table1[[#This Row],[Department ]]))</f>
        <v>General Medicine</v>
      </c>
      <c r="K28" t="s">
        <v>40</v>
      </c>
      <c r="L28" t="s">
        <v>41</v>
      </c>
      <c r="M28" s="1">
        <v>22776</v>
      </c>
      <c r="N28" s="1">
        <v>6690</v>
      </c>
      <c r="O28" s="1">
        <v>7624</v>
      </c>
      <c r="P28" s="1">
        <v>37090</v>
      </c>
      <c r="Q28" t="s">
        <v>69</v>
      </c>
      <c r="R28" t="s">
        <v>114</v>
      </c>
    </row>
    <row r="29" spans="1:18" x14ac:dyDescent="0.35">
      <c r="A29" s="1">
        <v>1028</v>
      </c>
      <c r="B29" t="s">
        <v>115</v>
      </c>
      <c r="C29" s="1">
        <v>32</v>
      </c>
      <c r="D29" s="1" t="s">
        <v>52</v>
      </c>
      <c r="E29" t="s">
        <v>19</v>
      </c>
      <c r="F29" t="s">
        <v>20</v>
      </c>
      <c r="G29" t="s">
        <v>116</v>
      </c>
      <c r="H29" s="1">
        <v>7</v>
      </c>
      <c r="I29" t="s">
        <v>22</v>
      </c>
      <c r="J29" t="str">
        <f>TRIM(PROPER(Table1[[#This Row],[Department ]]))</f>
        <v>Orthopedics</v>
      </c>
      <c r="K29" t="s">
        <v>79</v>
      </c>
      <c r="L29" t="s">
        <v>80</v>
      </c>
      <c r="M29" s="1">
        <v>17895</v>
      </c>
      <c r="N29" s="1">
        <v>2343</v>
      </c>
      <c r="O29" s="1">
        <v>6870</v>
      </c>
      <c r="P29" s="1">
        <v>27108</v>
      </c>
      <c r="Q29" t="s">
        <v>34</v>
      </c>
      <c r="R29" t="s">
        <v>26</v>
      </c>
    </row>
    <row r="30" spans="1:18" x14ac:dyDescent="0.35">
      <c r="A30" s="1">
        <v>1029</v>
      </c>
      <c r="B30" t="s">
        <v>117</v>
      </c>
      <c r="C30" s="1">
        <v>32</v>
      </c>
      <c r="D30" s="1" t="s">
        <v>52</v>
      </c>
      <c r="E30" t="s">
        <v>19</v>
      </c>
      <c r="F30" t="s">
        <v>118</v>
      </c>
      <c r="G30" t="s">
        <v>57</v>
      </c>
      <c r="H30" s="1">
        <v>5</v>
      </c>
      <c r="I30" t="s">
        <v>39</v>
      </c>
      <c r="J30" t="str">
        <f>TRIM(PROPER(Table1[[#This Row],[Department ]]))</f>
        <v>Gynecology</v>
      </c>
      <c r="K30" t="s">
        <v>32</v>
      </c>
      <c r="L30" t="s">
        <v>33</v>
      </c>
      <c r="M30" s="1">
        <v>16302</v>
      </c>
      <c r="N30" s="1">
        <v>6460</v>
      </c>
      <c r="O30" s="1">
        <v>6176</v>
      </c>
      <c r="P30" s="1">
        <v>28938</v>
      </c>
      <c r="Q30" t="s">
        <v>25</v>
      </c>
      <c r="R30" t="s">
        <v>26</v>
      </c>
    </row>
    <row r="31" spans="1:18" x14ac:dyDescent="0.35">
      <c r="A31" s="1">
        <v>1030</v>
      </c>
      <c r="B31" t="s">
        <v>119</v>
      </c>
      <c r="C31" s="1">
        <v>19</v>
      </c>
      <c r="D31" s="1" t="s">
        <v>43</v>
      </c>
      <c r="E31" t="s">
        <v>36</v>
      </c>
      <c r="F31" t="s">
        <v>120</v>
      </c>
      <c r="G31" t="s">
        <v>121</v>
      </c>
      <c r="H31" s="1">
        <v>6</v>
      </c>
      <c r="I31" t="s">
        <v>39</v>
      </c>
      <c r="J31" t="str">
        <f>TRIM(PROPER(Table1[[#This Row],[Department ]]))</f>
        <v>Cardiology</v>
      </c>
      <c r="K31" t="s">
        <v>23</v>
      </c>
      <c r="L31" t="s">
        <v>24</v>
      </c>
      <c r="M31" s="1">
        <v>12251</v>
      </c>
      <c r="N31" s="1">
        <v>3380</v>
      </c>
      <c r="O31" s="1">
        <v>6649</v>
      </c>
      <c r="P31" s="1">
        <v>22280</v>
      </c>
      <c r="Q31" t="s">
        <v>25</v>
      </c>
      <c r="R31" t="s">
        <v>26</v>
      </c>
    </row>
    <row r="32" spans="1:18" x14ac:dyDescent="0.35">
      <c r="A32" s="1">
        <v>1031</v>
      </c>
      <c r="B32" t="s">
        <v>122</v>
      </c>
      <c r="C32" s="1">
        <v>53</v>
      </c>
      <c r="D32" s="1" t="s">
        <v>28</v>
      </c>
      <c r="E32" t="s">
        <v>19</v>
      </c>
      <c r="F32" t="s">
        <v>123</v>
      </c>
      <c r="G32" t="s">
        <v>124</v>
      </c>
      <c r="H32" s="1">
        <v>1</v>
      </c>
      <c r="I32" t="s">
        <v>65</v>
      </c>
      <c r="J32" t="str">
        <f>TRIM(PROPER(Table1[[#This Row],[Department ]]))</f>
        <v>Cardiology</v>
      </c>
      <c r="K32" t="s">
        <v>23</v>
      </c>
      <c r="L32" t="s">
        <v>24</v>
      </c>
      <c r="M32" s="1">
        <v>13763</v>
      </c>
      <c r="N32" s="1">
        <v>7694</v>
      </c>
      <c r="O32" s="1">
        <v>4160</v>
      </c>
      <c r="P32" s="1">
        <v>25617</v>
      </c>
      <c r="Q32" t="s">
        <v>69</v>
      </c>
      <c r="R32" t="s">
        <v>74</v>
      </c>
    </row>
    <row r="33" spans="1:18" x14ac:dyDescent="0.35">
      <c r="A33" s="1">
        <v>1032</v>
      </c>
      <c r="B33" t="s">
        <v>125</v>
      </c>
      <c r="C33" s="1">
        <v>41</v>
      </c>
      <c r="D33" s="1" t="s">
        <v>18</v>
      </c>
      <c r="E33" t="s">
        <v>36</v>
      </c>
      <c r="F33" t="s">
        <v>126</v>
      </c>
      <c r="G33" t="s">
        <v>53</v>
      </c>
      <c r="H33" s="1">
        <v>6</v>
      </c>
      <c r="I33" t="s">
        <v>39</v>
      </c>
      <c r="J33" t="str">
        <f>TRIM(PROPER(Table1[[#This Row],[Department ]]))</f>
        <v>Gynecology</v>
      </c>
      <c r="K33" t="s">
        <v>32</v>
      </c>
      <c r="L33" t="s">
        <v>33</v>
      </c>
      <c r="M33" s="1">
        <v>6495</v>
      </c>
      <c r="N33" s="1">
        <v>2646</v>
      </c>
      <c r="O33" s="1">
        <v>7473</v>
      </c>
      <c r="P33" s="1">
        <v>16614</v>
      </c>
      <c r="Q33" t="s">
        <v>34</v>
      </c>
      <c r="R33" t="s">
        <v>26</v>
      </c>
    </row>
    <row r="34" spans="1:18" x14ac:dyDescent="0.35">
      <c r="A34" s="1">
        <v>1033</v>
      </c>
      <c r="B34" t="s">
        <v>127</v>
      </c>
      <c r="C34" s="1">
        <v>24</v>
      </c>
      <c r="D34" s="1" t="s">
        <v>43</v>
      </c>
      <c r="E34" t="s">
        <v>19</v>
      </c>
      <c r="F34" t="s">
        <v>128</v>
      </c>
      <c r="G34" t="s">
        <v>129</v>
      </c>
      <c r="H34" s="1">
        <v>7</v>
      </c>
      <c r="I34" t="s">
        <v>31</v>
      </c>
      <c r="J34" t="str">
        <f>TRIM(PROPER(Table1[[#This Row],[Department ]]))</f>
        <v>General Medicine</v>
      </c>
      <c r="K34" t="s">
        <v>40</v>
      </c>
      <c r="L34" t="s">
        <v>41</v>
      </c>
      <c r="M34" s="1">
        <v>13360</v>
      </c>
      <c r="N34" s="1">
        <v>7620</v>
      </c>
      <c r="O34" s="1">
        <v>8621</v>
      </c>
      <c r="P34" s="1">
        <v>29601</v>
      </c>
      <c r="Q34" t="s">
        <v>34</v>
      </c>
      <c r="R34" t="s">
        <v>26</v>
      </c>
    </row>
    <row r="35" spans="1:18" x14ac:dyDescent="0.35">
      <c r="A35" s="1">
        <v>1034</v>
      </c>
      <c r="B35" t="s">
        <v>130</v>
      </c>
      <c r="C35" s="1">
        <v>28</v>
      </c>
      <c r="D35" s="1" t="s">
        <v>52</v>
      </c>
      <c r="E35" t="s">
        <v>19</v>
      </c>
      <c r="F35" t="s">
        <v>131</v>
      </c>
      <c r="G35" t="s">
        <v>132</v>
      </c>
      <c r="H35" s="1">
        <v>6</v>
      </c>
      <c r="I35" t="s">
        <v>65</v>
      </c>
      <c r="J35" t="str">
        <f>TRIM(PROPER(Table1[[#This Row],[Department ]]))</f>
        <v>Neurology</v>
      </c>
      <c r="K35" t="s">
        <v>48</v>
      </c>
      <c r="L35" t="s">
        <v>49</v>
      </c>
      <c r="M35" s="1">
        <v>17689</v>
      </c>
      <c r="N35" s="1">
        <v>3405</v>
      </c>
      <c r="O35" s="1">
        <v>7124</v>
      </c>
      <c r="P35" s="1">
        <v>28218</v>
      </c>
      <c r="Q35" t="s">
        <v>69</v>
      </c>
      <c r="R35" t="s">
        <v>114</v>
      </c>
    </row>
    <row r="36" spans="1:18" x14ac:dyDescent="0.35">
      <c r="A36" s="1">
        <v>1035</v>
      </c>
      <c r="B36" t="s">
        <v>133</v>
      </c>
      <c r="C36" s="1">
        <v>39</v>
      </c>
      <c r="D36" s="1" t="s">
        <v>18</v>
      </c>
      <c r="E36" t="s">
        <v>19</v>
      </c>
      <c r="F36" t="s">
        <v>104</v>
      </c>
      <c r="G36" t="s">
        <v>134</v>
      </c>
      <c r="H36" s="1">
        <v>9</v>
      </c>
      <c r="I36" t="s">
        <v>22</v>
      </c>
      <c r="J36" t="str">
        <f>TRIM(PROPER(Table1[[#This Row],[Department ]]))</f>
        <v>Cardiology</v>
      </c>
      <c r="K36" t="s">
        <v>23</v>
      </c>
      <c r="L36" t="s">
        <v>24</v>
      </c>
      <c r="M36" s="1">
        <v>8653</v>
      </c>
      <c r="N36" s="1">
        <v>4594</v>
      </c>
      <c r="O36" s="1">
        <v>3280</v>
      </c>
      <c r="P36" s="1">
        <v>16527</v>
      </c>
      <c r="Q36" t="s">
        <v>50</v>
      </c>
      <c r="R36" t="s">
        <v>26</v>
      </c>
    </row>
    <row r="37" spans="1:18" x14ac:dyDescent="0.35">
      <c r="A37" s="1">
        <v>1036</v>
      </c>
      <c r="B37" t="s">
        <v>135</v>
      </c>
      <c r="C37" s="1">
        <v>65</v>
      </c>
      <c r="D37" s="1" t="s">
        <v>28</v>
      </c>
      <c r="E37" t="s">
        <v>36</v>
      </c>
      <c r="F37" t="s">
        <v>60</v>
      </c>
      <c r="G37" t="s">
        <v>136</v>
      </c>
      <c r="H37" s="1">
        <v>4</v>
      </c>
      <c r="I37" t="s">
        <v>61</v>
      </c>
      <c r="J37" t="str">
        <f>TRIM(PROPER(Table1[[#This Row],[Department ]]))</f>
        <v>Gynecology</v>
      </c>
      <c r="K37" t="s">
        <v>32</v>
      </c>
      <c r="L37" t="s">
        <v>33</v>
      </c>
      <c r="M37" s="1">
        <v>23772</v>
      </c>
      <c r="N37" s="1">
        <v>5756</v>
      </c>
      <c r="O37" s="1">
        <v>5492</v>
      </c>
      <c r="P37" s="1">
        <v>35020</v>
      </c>
      <c r="Q37" t="s">
        <v>25</v>
      </c>
      <c r="R37" t="s">
        <v>26</v>
      </c>
    </row>
    <row r="38" spans="1:18" x14ac:dyDescent="0.35">
      <c r="A38" s="1">
        <v>1037</v>
      </c>
      <c r="B38" t="s">
        <v>137</v>
      </c>
      <c r="C38" s="1">
        <v>50</v>
      </c>
      <c r="D38" s="1" t="s">
        <v>28</v>
      </c>
      <c r="E38" t="s">
        <v>36</v>
      </c>
      <c r="F38" t="s">
        <v>138</v>
      </c>
      <c r="G38" t="s">
        <v>53</v>
      </c>
      <c r="H38" s="1">
        <v>3</v>
      </c>
      <c r="I38" t="s">
        <v>39</v>
      </c>
      <c r="J38" t="str">
        <f>TRIM(PROPER(Table1[[#This Row],[Department ]]))</f>
        <v>Cardiology</v>
      </c>
      <c r="K38" t="s">
        <v>23</v>
      </c>
      <c r="L38" t="s">
        <v>24</v>
      </c>
      <c r="M38" s="1">
        <v>13921</v>
      </c>
      <c r="N38" s="1">
        <v>6351</v>
      </c>
      <c r="O38" s="1">
        <v>8966</v>
      </c>
      <c r="P38" s="1">
        <v>29238</v>
      </c>
      <c r="Q38" t="s">
        <v>69</v>
      </c>
      <c r="R38" t="s">
        <v>26</v>
      </c>
    </row>
    <row r="39" spans="1:18" x14ac:dyDescent="0.35">
      <c r="A39" s="1">
        <v>1038</v>
      </c>
      <c r="B39" t="s">
        <v>139</v>
      </c>
      <c r="C39" s="1">
        <v>61</v>
      </c>
      <c r="D39" s="1" t="s">
        <v>28</v>
      </c>
      <c r="E39" t="s">
        <v>19</v>
      </c>
      <c r="F39" t="s">
        <v>140</v>
      </c>
      <c r="G39" t="s">
        <v>141</v>
      </c>
      <c r="H39" s="1">
        <v>6</v>
      </c>
      <c r="I39" t="s">
        <v>22</v>
      </c>
      <c r="J39" t="str">
        <f>TRIM(PROPER(Table1[[#This Row],[Department ]]))</f>
        <v>Gynecology</v>
      </c>
      <c r="K39" t="s">
        <v>32</v>
      </c>
      <c r="L39" t="s">
        <v>33</v>
      </c>
      <c r="M39" s="1">
        <v>14236</v>
      </c>
      <c r="N39" s="1">
        <v>7250</v>
      </c>
      <c r="O39" s="1">
        <v>4565</v>
      </c>
      <c r="P39" s="1">
        <v>26051</v>
      </c>
      <c r="Q39" t="s">
        <v>34</v>
      </c>
      <c r="R39" t="s">
        <v>26</v>
      </c>
    </row>
    <row r="40" spans="1:18" x14ac:dyDescent="0.35">
      <c r="A40" s="1">
        <v>1039</v>
      </c>
      <c r="B40" t="s">
        <v>142</v>
      </c>
      <c r="C40" s="1">
        <v>71</v>
      </c>
      <c r="D40" s="1" t="s">
        <v>28</v>
      </c>
      <c r="E40" t="s">
        <v>36</v>
      </c>
      <c r="F40" t="s">
        <v>143</v>
      </c>
      <c r="G40" t="s">
        <v>120</v>
      </c>
      <c r="H40" s="1">
        <v>2</v>
      </c>
      <c r="I40" t="s">
        <v>39</v>
      </c>
      <c r="J40" t="str">
        <f>TRIM(PROPER(Table1[[#This Row],[Department ]]))</f>
        <v>Gynecology</v>
      </c>
      <c r="K40" t="s">
        <v>32</v>
      </c>
      <c r="L40" t="s">
        <v>33</v>
      </c>
      <c r="M40" s="1">
        <v>7683</v>
      </c>
      <c r="N40" s="1">
        <v>4562</v>
      </c>
      <c r="O40" s="1">
        <v>7115</v>
      </c>
      <c r="P40" s="1">
        <v>19360</v>
      </c>
      <c r="Q40" t="s">
        <v>50</v>
      </c>
      <c r="R40" t="s">
        <v>26</v>
      </c>
    </row>
    <row r="41" spans="1:18" x14ac:dyDescent="0.35">
      <c r="A41" s="1">
        <v>1040</v>
      </c>
      <c r="B41" t="s">
        <v>144</v>
      </c>
      <c r="C41" s="1">
        <v>66</v>
      </c>
      <c r="D41" s="1" t="s">
        <v>28</v>
      </c>
      <c r="E41" t="s">
        <v>36</v>
      </c>
      <c r="F41" t="s">
        <v>145</v>
      </c>
      <c r="G41" t="s">
        <v>146</v>
      </c>
      <c r="H41" s="1">
        <v>7</v>
      </c>
      <c r="I41" t="s">
        <v>65</v>
      </c>
      <c r="J41" t="str">
        <f>TRIM(PROPER(Table1[[#This Row],[Department ]]))</f>
        <v>Orthopedics</v>
      </c>
      <c r="K41" t="s">
        <v>79</v>
      </c>
      <c r="L41" t="s">
        <v>80</v>
      </c>
      <c r="M41" s="1">
        <v>22903</v>
      </c>
      <c r="N41" s="1">
        <v>5857</v>
      </c>
      <c r="O41" s="1">
        <v>6202</v>
      </c>
      <c r="P41" s="1">
        <v>34962</v>
      </c>
      <c r="Q41" t="s">
        <v>25</v>
      </c>
      <c r="R41" t="s">
        <v>26</v>
      </c>
    </row>
    <row r="42" spans="1:18" x14ac:dyDescent="0.35">
      <c r="A42" s="1">
        <v>1041</v>
      </c>
      <c r="B42" t="s">
        <v>117</v>
      </c>
      <c r="C42" s="1">
        <v>25</v>
      </c>
      <c r="D42" s="1" t="s">
        <v>52</v>
      </c>
      <c r="E42" t="s">
        <v>36</v>
      </c>
      <c r="F42" t="s">
        <v>136</v>
      </c>
      <c r="G42" t="s">
        <v>86</v>
      </c>
      <c r="H42" s="1">
        <v>1</v>
      </c>
      <c r="I42" t="s">
        <v>61</v>
      </c>
      <c r="J42" t="str">
        <f>TRIM(PROPER(Table1[[#This Row],[Department ]]))</f>
        <v>Gynecology</v>
      </c>
      <c r="K42" t="s">
        <v>32</v>
      </c>
      <c r="L42" t="s">
        <v>33</v>
      </c>
      <c r="M42" s="1">
        <v>18325</v>
      </c>
      <c r="N42" s="1">
        <v>6526</v>
      </c>
      <c r="O42" s="1">
        <v>8983</v>
      </c>
      <c r="P42" s="1">
        <v>33834</v>
      </c>
      <c r="Q42" t="s">
        <v>69</v>
      </c>
      <c r="R42" t="s">
        <v>114</v>
      </c>
    </row>
    <row r="43" spans="1:18" x14ac:dyDescent="0.35">
      <c r="A43" s="1">
        <v>1042</v>
      </c>
      <c r="B43" t="s">
        <v>147</v>
      </c>
      <c r="C43" s="1">
        <v>37</v>
      </c>
      <c r="D43" s="1" t="s">
        <v>18</v>
      </c>
      <c r="E43" t="s">
        <v>36</v>
      </c>
      <c r="F43" t="s">
        <v>148</v>
      </c>
      <c r="G43" t="s">
        <v>64</v>
      </c>
      <c r="H43" s="1">
        <v>3</v>
      </c>
      <c r="I43" t="s">
        <v>65</v>
      </c>
      <c r="J43" t="str">
        <f>TRIM(PROPER(Table1[[#This Row],[Department ]]))</f>
        <v>General Medicine</v>
      </c>
      <c r="K43" t="s">
        <v>40</v>
      </c>
      <c r="L43" t="s">
        <v>41</v>
      </c>
      <c r="M43" s="1">
        <v>12547</v>
      </c>
      <c r="N43" s="1">
        <v>7575</v>
      </c>
      <c r="O43" s="1">
        <v>6680</v>
      </c>
      <c r="P43" s="1">
        <v>26802</v>
      </c>
      <c r="Q43" t="s">
        <v>25</v>
      </c>
      <c r="R43" t="s">
        <v>26</v>
      </c>
    </row>
    <row r="44" spans="1:18" x14ac:dyDescent="0.35">
      <c r="A44" s="1">
        <v>1043</v>
      </c>
      <c r="B44" t="s">
        <v>125</v>
      </c>
      <c r="C44" s="1">
        <v>37</v>
      </c>
      <c r="D44" s="1" t="s">
        <v>18</v>
      </c>
      <c r="E44" t="s">
        <v>19</v>
      </c>
      <c r="F44" t="s">
        <v>149</v>
      </c>
      <c r="G44" t="s">
        <v>118</v>
      </c>
      <c r="H44" s="1">
        <v>3</v>
      </c>
      <c r="I44" t="s">
        <v>39</v>
      </c>
      <c r="J44" t="str">
        <f>TRIM(PROPER(Table1[[#This Row],[Department ]]))</f>
        <v>Orthopedics</v>
      </c>
      <c r="K44" t="s">
        <v>79</v>
      </c>
      <c r="L44" t="s">
        <v>80</v>
      </c>
      <c r="M44" s="1">
        <v>13851</v>
      </c>
      <c r="N44" s="1">
        <v>6677</v>
      </c>
      <c r="O44" s="1">
        <v>7499</v>
      </c>
      <c r="P44" s="1">
        <v>28027</v>
      </c>
      <c r="Q44" t="s">
        <v>50</v>
      </c>
      <c r="R44" t="s">
        <v>26</v>
      </c>
    </row>
    <row r="45" spans="1:18" x14ac:dyDescent="0.35">
      <c r="A45" s="1">
        <v>1044</v>
      </c>
      <c r="B45" t="s">
        <v>150</v>
      </c>
      <c r="C45" s="1">
        <v>45</v>
      </c>
      <c r="D45" s="1" t="s">
        <v>18</v>
      </c>
      <c r="E45" t="s">
        <v>19</v>
      </c>
      <c r="F45" t="s">
        <v>21</v>
      </c>
      <c r="G45" t="s">
        <v>151</v>
      </c>
      <c r="H45" s="1">
        <v>1</v>
      </c>
      <c r="I45" t="s">
        <v>22</v>
      </c>
      <c r="J45" t="str">
        <f>TRIM(PROPER(Table1[[#This Row],[Department ]]))</f>
        <v>Gynecology</v>
      </c>
      <c r="K45" t="s">
        <v>32</v>
      </c>
      <c r="L45" t="s">
        <v>33</v>
      </c>
      <c r="M45" s="1">
        <v>13710</v>
      </c>
      <c r="N45" s="1">
        <v>6094</v>
      </c>
      <c r="O45" s="1">
        <v>3434</v>
      </c>
      <c r="P45" s="1">
        <v>23238</v>
      </c>
      <c r="Q45" t="s">
        <v>69</v>
      </c>
      <c r="R45" t="s">
        <v>114</v>
      </c>
    </row>
    <row r="46" spans="1:18" x14ac:dyDescent="0.35">
      <c r="A46" s="1">
        <v>1045</v>
      </c>
      <c r="B46" t="s">
        <v>152</v>
      </c>
      <c r="C46" s="1">
        <v>55</v>
      </c>
      <c r="D46" s="1" t="s">
        <v>28</v>
      </c>
      <c r="E46" t="s">
        <v>19</v>
      </c>
      <c r="F46" t="s">
        <v>153</v>
      </c>
      <c r="G46" t="s">
        <v>89</v>
      </c>
      <c r="H46" s="1">
        <v>10</v>
      </c>
      <c r="I46" t="s">
        <v>39</v>
      </c>
      <c r="J46" t="str">
        <f>TRIM(PROPER(Table1[[#This Row],[Department ]]))</f>
        <v>Gynecology</v>
      </c>
      <c r="K46" t="s">
        <v>32</v>
      </c>
      <c r="L46" t="s">
        <v>33</v>
      </c>
      <c r="M46" s="1">
        <v>12368</v>
      </c>
      <c r="N46" s="1">
        <v>5516</v>
      </c>
      <c r="O46" s="1">
        <v>5807</v>
      </c>
      <c r="P46" s="1">
        <v>23691</v>
      </c>
      <c r="Q46" t="s">
        <v>50</v>
      </c>
      <c r="R46" t="s">
        <v>26</v>
      </c>
    </row>
    <row r="47" spans="1:18" x14ac:dyDescent="0.35">
      <c r="A47" s="1">
        <v>1046</v>
      </c>
      <c r="B47" t="s">
        <v>154</v>
      </c>
      <c r="C47" s="1">
        <v>20</v>
      </c>
      <c r="D47" s="1" t="s">
        <v>43</v>
      </c>
      <c r="E47" t="s">
        <v>19</v>
      </c>
      <c r="F47" t="s">
        <v>37</v>
      </c>
      <c r="G47" t="s">
        <v>121</v>
      </c>
      <c r="H47" s="1">
        <v>3</v>
      </c>
      <c r="I47" t="s">
        <v>39</v>
      </c>
      <c r="J47" t="str">
        <f>TRIM(PROPER(Table1[[#This Row],[Department ]]))</f>
        <v>Neurology</v>
      </c>
      <c r="K47" t="s">
        <v>48</v>
      </c>
      <c r="L47" t="s">
        <v>49</v>
      </c>
      <c r="M47" s="1">
        <v>17285</v>
      </c>
      <c r="N47" s="1">
        <v>4459</v>
      </c>
      <c r="O47" s="1">
        <v>6463</v>
      </c>
      <c r="P47" s="1">
        <v>28207</v>
      </c>
      <c r="Q47" t="s">
        <v>50</v>
      </c>
      <c r="R47" t="s">
        <v>26</v>
      </c>
    </row>
    <row r="48" spans="1:18" x14ac:dyDescent="0.35">
      <c r="A48" s="1">
        <v>1047</v>
      </c>
      <c r="B48" t="s">
        <v>115</v>
      </c>
      <c r="C48" s="1">
        <v>18</v>
      </c>
      <c r="D48" s="1" t="s">
        <v>43</v>
      </c>
      <c r="E48" t="s">
        <v>36</v>
      </c>
      <c r="F48" t="s">
        <v>155</v>
      </c>
      <c r="G48" t="s">
        <v>156</v>
      </c>
      <c r="H48" s="1">
        <v>8</v>
      </c>
      <c r="I48" t="s">
        <v>22</v>
      </c>
      <c r="J48" t="str">
        <f>TRIM(PROPER(Table1[[#This Row],[Department ]]))</f>
        <v>Neurology</v>
      </c>
      <c r="K48" t="s">
        <v>48</v>
      </c>
      <c r="L48" t="s">
        <v>49</v>
      </c>
      <c r="M48" s="1">
        <v>6292</v>
      </c>
      <c r="N48" s="1">
        <v>3800</v>
      </c>
      <c r="O48" s="1">
        <v>7514</v>
      </c>
      <c r="P48" s="1">
        <v>17606</v>
      </c>
      <c r="Q48" t="s">
        <v>69</v>
      </c>
      <c r="R48" t="s">
        <v>70</v>
      </c>
    </row>
    <row r="49" spans="1:18" x14ac:dyDescent="0.35">
      <c r="A49" s="1">
        <v>1048</v>
      </c>
      <c r="B49" t="s">
        <v>157</v>
      </c>
      <c r="C49" s="1">
        <v>20</v>
      </c>
      <c r="D49" s="1" t="s">
        <v>43</v>
      </c>
      <c r="E49" t="s">
        <v>36</v>
      </c>
      <c r="F49" t="s">
        <v>86</v>
      </c>
      <c r="G49" t="s">
        <v>87</v>
      </c>
      <c r="H49" s="1">
        <v>7</v>
      </c>
      <c r="I49" t="s">
        <v>61</v>
      </c>
      <c r="J49" t="str">
        <f>TRIM(PROPER(Table1[[#This Row],[Department ]]))</f>
        <v>General Medicine</v>
      </c>
      <c r="K49" t="s">
        <v>40</v>
      </c>
      <c r="L49" t="s">
        <v>41</v>
      </c>
      <c r="M49" s="1">
        <v>18821</v>
      </c>
      <c r="N49" s="1">
        <v>4844</v>
      </c>
      <c r="O49" s="1">
        <v>7328</v>
      </c>
      <c r="P49" s="1">
        <v>30993</v>
      </c>
      <c r="Q49" t="s">
        <v>69</v>
      </c>
      <c r="R49" t="s">
        <v>114</v>
      </c>
    </row>
    <row r="50" spans="1:18" x14ac:dyDescent="0.35">
      <c r="A50" s="1">
        <v>1049</v>
      </c>
      <c r="B50" t="s">
        <v>158</v>
      </c>
      <c r="C50" s="1">
        <v>22</v>
      </c>
      <c r="D50" s="1" t="s">
        <v>43</v>
      </c>
      <c r="E50" t="s">
        <v>19</v>
      </c>
      <c r="F50" t="s">
        <v>107</v>
      </c>
      <c r="G50" t="s">
        <v>159</v>
      </c>
      <c r="H50" s="1">
        <v>3</v>
      </c>
      <c r="I50" t="s">
        <v>31</v>
      </c>
      <c r="J50" t="str">
        <f>TRIM(PROPER(Table1[[#This Row],[Department ]]))</f>
        <v>Cardiology</v>
      </c>
      <c r="K50" t="s">
        <v>23</v>
      </c>
      <c r="L50" t="s">
        <v>24</v>
      </c>
      <c r="M50" s="1">
        <v>19966</v>
      </c>
      <c r="N50" s="1">
        <v>7297</v>
      </c>
      <c r="O50" s="1">
        <v>6562</v>
      </c>
      <c r="P50" s="1">
        <v>33825</v>
      </c>
      <c r="Q50" t="s">
        <v>50</v>
      </c>
      <c r="R50" t="s">
        <v>26</v>
      </c>
    </row>
    <row r="51" spans="1:18" x14ac:dyDescent="0.35">
      <c r="A51" s="1">
        <v>1050</v>
      </c>
      <c r="B51" t="s">
        <v>160</v>
      </c>
      <c r="C51" s="1">
        <v>69</v>
      </c>
      <c r="D51" s="1" t="s">
        <v>28</v>
      </c>
      <c r="E51" t="s">
        <v>36</v>
      </c>
      <c r="F51" t="s">
        <v>161</v>
      </c>
      <c r="G51" t="s">
        <v>162</v>
      </c>
      <c r="H51" s="1">
        <v>10</v>
      </c>
      <c r="I51" t="s">
        <v>61</v>
      </c>
      <c r="J51" t="str">
        <f>TRIM(PROPER(Table1[[#This Row],[Department ]]))</f>
        <v>Gynecology</v>
      </c>
      <c r="K51" t="s">
        <v>32</v>
      </c>
      <c r="L51" t="s">
        <v>33</v>
      </c>
      <c r="M51" s="1">
        <v>21649</v>
      </c>
      <c r="N51" s="1">
        <v>4348</v>
      </c>
      <c r="O51" s="1">
        <v>3935</v>
      </c>
      <c r="P51" s="1">
        <v>29932</v>
      </c>
      <c r="Q51" t="s">
        <v>50</v>
      </c>
      <c r="R51" t="s">
        <v>26</v>
      </c>
    </row>
    <row r="52" spans="1:18" x14ac:dyDescent="0.35">
      <c r="A52" s="1">
        <v>1051</v>
      </c>
      <c r="B52" t="s">
        <v>163</v>
      </c>
      <c r="C52" s="1">
        <v>49</v>
      </c>
      <c r="D52" s="1" t="s">
        <v>18</v>
      </c>
      <c r="E52" t="s">
        <v>36</v>
      </c>
      <c r="F52" t="s">
        <v>132</v>
      </c>
      <c r="G52" t="s">
        <v>146</v>
      </c>
      <c r="H52" s="1">
        <v>6</v>
      </c>
      <c r="I52" t="s">
        <v>65</v>
      </c>
      <c r="J52" t="str">
        <f>TRIM(PROPER(Table1[[#This Row],[Department ]]))</f>
        <v>Neurology</v>
      </c>
      <c r="K52" t="s">
        <v>48</v>
      </c>
      <c r="L52" t="s">
        <v>49</v>
      </c>
      <c r="M52" s="1">
        <v>14024</v>
      </c>
      <c r="N52" s="1">
        <v>7240</v>
      </c>
      <c r="O52" s="1">
        <v>7183</v>
      </c>
      <c r="P52" s="1">
        <v>28447</v>
      </c>
      <c r="Q52" t="s">
        <v>25</v>
      </c>
      <c r="R52" t="s">
        <v>26</v>
      </c>
    </row>
    <row r="53" spans="1:18" x14ac:dyDescent="0.35">
      <c r="A53" s="1">
        <v>1052</v>
      </c>
      <c r="B53" t="s">
        <v>164</v>
      </c>
      <c r="C53" s="1">
        <v>41</v>
      </c>
      <c r="D53" s="1" t="s">
        <v>18</v>
      </c>
      <c r="E53" t="s">
        <v>36</v>
      </c>
      <c r="F53" t="s">
        <v>165</v>
      </c>
      <c r="G53" t="s">
        <v>166</v>
      </c>
      <c r="H53" s="1">
        <v>6</v>
      </c>
      <c r="I53" t="s">
        <v>61</v>
      </c>
      <c r="J53" t="str">
        <f>TRIM(PROPER(Table1[[#This Row],[Department ]]))</f>
        <v>Orthopedics</v>
      </c>
      <c r="K53" t="s">
        <v>79</v>
      </c>
      <c r="L53" t="s">
        <v>80</v>
      </c>
      <c r="M53" s="1">
        <v>14807</v>
      </c>
      <c r="N53" s="1">
        <v>3021</v>
      </c>
      <c r="O53" s="1">
        <v>6131</v>
      </c>
      <c r="P53" s="1">
        <v>23959</v>
      </c>
      <c r="Q53" t="s">
        <v>69</v>
      </c>
      <c r="R53" t="s">
        <v>74</v>
      </c>
    </row>
    <row r="54" spans="1:18" x14ac:dyDescent="0.35">
      <c r="A54" s="1">
        <v>1053</v>
      </c>
      <c r="B54" t="s">
        <v>85</v>
      </c>
      <c r="C54" s="1">
        <v>24</v>
      </c>
      <c r="D54" s="1" t="s">
        <v>43</v>
      </c>
      <c r="E54" t="s">
        <v>36</v>
      </c>
      <c r="F54" t="s">
        <v>167</v>
      </c>
      <c r="G54" t="s">
        <v>168</v>
      </c>
      <c r="H54" s="1">
        <v>2</v>
      </c>
      <c r="I54" t="s">
        <v>22</v>
      </c>
      <c r="J54" t="str">
        <f>TRIM(PROPER(Table1[[#This Row],[Department ]]))</f>
        <v>Orthopedics</v>
      </c>
      <c r="K54" t="s">
        <v>79</v>
      </c>
      <c r="L54" t="s">
        <v>80</v>
      </c>
      <c r="M54" s="1">
        <v>24931</v>
      </c>
      <c r="N54" s="1">
        <v>6824</v>
      </c>
      <c r="O54" s="1">
        <v>5098</v>
      </c>
      <c r="P54" s="1">
        <v>36853</v>
      </c>
      <c r="Q54" t="s">
        <v>69</v>
      </c>
      <c r="R54" t="s">
        <v>70</v>
      </c>
    </row>
    <row r="55" spans="1:18" x14ac:dyDescent="0.35">
      <c r="A55" s="1">
        <v>1054</v>
      </c>
      <c r="B55" t="s">
        <v>169</v>
      </c>
      <c r="C55" s="1">
        <v>56</v>
      </c>
      <c r="D55" s="1" t="s">
        <v>28</v>
      </c>
      <c r="E55" t="s">
        <v>36</v>
      </c>
      <c r="F55" t="s">
        <v>73</v>
      </c>
      <c r="G55" t="s">
        <v>170</v>
      </c>
      <c r="H55" s="1">
        <v>3</v>
      </c>
      <c r="I55" t="s">
        <v>31</v>
      </c>
      <c r="J55" t="str">
        <f>TRIM(PROPER(Table1[[#This Row],[Department ]]))</f>
        <v>Gynecology</v>
      </c>
      <c r="K55" t="s">
        <v>32</v>
      </c>
      <c r="L55" t="s">
        <v>33</v>
      </c>
      <c r="M55" s="1">
        <v>19305</v>
      </c>
      <c r="N55" s="1">
        <v>2147</v>
      </c>
      <c r="O55" s="1">
        <v>3273</v>
      </c>
      <c r="P55" s="1">
        <v>24725</v>
      </c>
      <c r="Q55" t="s">
        <v>25</v>
      </c>
      <c r="R55" t="s">
        <v>26</v>
      </c>
    </row>
    <row r="56" spans="1:18" x14ac:dyDescent="0.35">
      <c r="A56" s="1">
        <v>1055</v>
      </c>
      <c r="B56" t="s">
        <v>171</v>
      </c>
      <c r="C56" s="1">
        <v>73</v>
      </c>
      <c r="D56" s="1" t="s">
        <v>28</v>
      </c>
      <c r="E56" t="s">
        <v>19</v>
      </c>
      <c r="F56" t="s">
        <v>121</v>
      </c>
      <c r="G56" t="s">
        <v>91</v>
      </c>
      <c r="H56" s="1">
        <v>1</v>
      </c>
      <c r="I56" t="s">
        <v>39</v>
      </c>
      <c r="J56" t="str">
        <f>TRIM(PROPER(Table1[[#This Row],[Department ]]))</f>
        <v>General Medicine</v>
      </c>
      <c r="K56" t="s">
        <v>40</v>
      </c>
      <c r="L56" t="s">
        <v>41</v>
      </c>
      <c r="M56" s="1">
        <v>23358</v>
      </c>
      <c r="N56" s="1">
        <v>6772</v>
      </c>
      <c r="O56" s="1">
        <v>6191</v>
      </c>
      <c r="P56" s="1">
        <v>36321</v>
      </c>
      <c r="Q56" t="s">
        <v>50</v>
      </c>
      <c r="R56" t="s">
        <v>26</v>
      </c>
    </row>
    <row r="57" spans="1:18" x14ac:dyDescent="0.35">
      <c r="A57" s="1">
        <v>1056</v>
      </c>
      <c r="B57" t="s">
        <v>172</v>
      </c>
      <c r="C57" s="1">
        <v>51</v>
      </c>
      <c r="D57" s="1" t="s">
        <v>28</v>
      </c>
      <c r="E57" t="s">
        <v>19</v>
      </c>
      <c r="F57" t="s">
        <v>126</v>
      </c>
      <c r="G57" t="s">
        <v>149</v>
      </c>
      <c r="H57" s="1">
        <v>10</v>
      </c>
      <c r="I57" t="s">
        <v>39</v>
      </c>
      <c r="J57" t="str">
        <f>TRIM(PROPER(Table1[[#This Row],[Department ]]))</f>
        <v>Orthopedics</v>
      </c>
      <c r="K57" t="s">
        <v>79</v>
      </c>
      <c r="L57" t="s">
        <v>80</v>
      </c>
      <c r="M57" s="1">
        <v>12028</v>
      </c>
      <c r="N57" s="1">
        <v>3604</v>
      </c>
      <c r="O57" s="1">
        <v>4010</v>
      </c>
      <c r="P57" s="1">
        <v>19642</v>
      </c>
      <c r="Q57" t="s">
        <v>25</v>
      </c>
      <c r="R57" t="s">
        <v>26</v>
      </c>
    </row>
    <row r="58" spans="1:18" x14ac:dyDescent="0.35">
      <c r="A58" s="1">
        <v>1057</v>
      </c>
      <c r="B58" t="s">
        <v>173</v>
      </c>
      <c r="C58" s="1">
        <v>37</v>
      </c>
      <c r="D58" s="1" t="s">
        <v>18</v>
      </c>
      <c r="E58" t="s">
        <v>19</v>
      </c>
      <c r="F58" t="s">
        <v>168</v>
      </c>
      <c r="G58" t="s">
        <v>134</v>
      </c>
      <c r="H58" s="1">
        <v>5</v>
      </c>
      <c r="I58" t="s">
        <v>22</v>
      </c>
      <c r="J58" t="str">
        <f>TRIM(PROPER(Table1[[#This Row],[Department ]]))</f>
        <v>Neurology</v>
      </c>
      <c r="K58" t="s">
        <v>48</v>
      </c>
      <c r="L58" t="s">
        <v>49</v>
      </c>
      <c r="M58" s="1">
        <v>19475</v>
      </c>
      <c r="N58" s="1">
        <v>3285</v>
      </c>
      <c r="O58" s="1">
        <v>6144</v>
      </c>
      <c r="P58" s="1">
        <v>28904</v>
      </c>
      <c r="Q58" t="s">
        <v>69</v>
      </c>
      <c r="R58" t="s">
        <v>74</v>
      </c>
    </row>
    <row r="59" spans="1:18" x14ac:dyDescent="0.35">
      <c r="A59" s="1">
        <v>1058</v>
      </c>
      <c r="B59" t="s">
        <v>174</v>
      </c>
      <c r="C59" s="1">
        <v>64</v>
      </c>
      <c r="D59" s="1" t="s">
        <v>28</v>
      </c>
      <c r="E59" t="s">
        <v>19</v>
      </c>
      <c r="F59" t="s">
        <v>175</v>
      </c>
      <c r="G59" t="s">
        <v>63</v>
      </c>
      <c r="H59" s="1">
        <v>6</v>
      </c>
      <c r="I59" t="s">
        <v>65</v>
      </c>
      <c r="J59" t="str">
        <f>TRIM(PROPER(Table1[[#This Row],[Department ]]))</f>
        <v>Orthopedics</v>
      </c>
      <c r="K59" t="s">
        <v>79</v>
      </c>
      <c r="L59" t="s">
        <v>80</v>
      </c>
      <c r="M59" s="1">
        <v>20525</v>
      </c>
      <c r="N59" s="1">
        <v>6432</v>
      </c>
      <c r="O59" s="1">
        <v>3314</v>
      </c>
      <c r="P59" s="1">
        <v>30271</v>
      </c>
      <c r="Q59" t="s">
        <v>25</v>
      </c>
      <c r="R59" t="s">
        <v>26</v>
      </c>
    </row>
    <row r="60" spans="1:18" x14ac:dyDescent="0.35">
      <c r="A60" s="1">
        <v>1059</v>
      </c>
      <c r="B60" t="s">
        <v>176</v>
      </c>
      <c r="C60" s="1">
        <v>46</v>
      </c>
      <c r="D60" s="1" t="s">
        <v>18</v>
      </c>
      <c r="E60" t="s">
        <v>36</v>
      </c>
      <c r="F60" t="s">
        <v>177</v>
      </c>
      <c r="G60" t="s">
        <v>145</v>
      </c>
      <c r="H60" s="1">
        <v>4</v>
      </c>
      <c r="I60" t="s">
        <v>65</v>
      </c>
      <c r="J60" t="str">
        <f>TRIM(PROPER(Table1[[#This Row],[Department ]]))</f>
        <v>Neurology</v>
      </c>
      <c r="K60" t="s">
        <v>48</v>
      </c>
      <c r="L60" t="s">
        <v>49</v>
      </c>
      <c r="M60" s="1">
        <v>21277</v>
      </c>
      <c r="N60" s="1">
        <v>7052</v>
      </c>
      <c r="O60" s="1">
        <v>7577</v>
      </c>
      <c r="P60" s="1">
        <v>35906</v>
      </c>
      <c r="Q60" t="s">
        <v>50</v>
      </c>
      <c r="R60" t="s">
        <v>26</v>
      </c>
    </row>
    <row r="61" spans="1:18" x14ac:dyDescent="0.35">
      <c r="A61" s="1">
        <v>1060</v>
      </c>
      <c r="B61" t="s">
        <v>178</v>
      </c>
      <c r="C61" s="1">
        <v>66</v>
      </c>
      <c r="D61" s="1" t="s">
        <v>28</v>
      </c>
      <c r="E61" t="s">
        <v>19</v>
      </c>
      <c r="F61" t="s">
        <v>179</v>
      </c>
      <c r="G61" t="s">
        <v>180</v>
      </c>
      <c r="H61" s="1">
        <v>8</v>
      </c>
      <c r="I61" t="s">
        <v>65</v>
      </c>
      <c r="J61" t="str">
        <f>TRIM(PROPER(Table1[[#This Row],[Department ]]))</f>
        <v>Cardiology</v>
      </c>
      <c r="K61" t="s">
        <v>23</v>
      </c>
      <c r="L61" t="s">
        <v>24</v>
      </c>
      <c r="M61" s="1">
        <v>20470</v>
      </c>
      <c r="N61" s="1">
        <v>3811</v>
      </c>
      <c r="O61" s="1">
        <v>7098</v>
      </c>
      <c r="P61" s="1">
        <v>31379</v>
      </c>
      <c r="Q61" t="s">
        <v>34</v>
      </c>
      <c r="R61" t="s">
        <v>26</v>
      </c>
    </row>
    <row r="62" spans="1:18" x14ac:dyDescent="0.35">
      <c r="A62" s="1">
        <v>1061</v>
      </c>
      <c r="B62" t="s">
        <v>181</v>
      </c>
      <c r="C62" s="1">
        <v>18</v>
      </c>
      <c r="D62" s="1" t="s">
        <v>43</v>
      </c>
      <c r="E62" t="s">
        <v>19</v>
      </c>
      <c r="F62" t="s">
        <v>89</v>
      </c>
      <c r="G62" t="s">
        <v>182</v>
      </c>
      <c r="H62" s="1">
        <v>1</v>
      </c>
      <c r="I62" t="s">
        <v>31</v>
      </c>
      <c r="J62" t="str">
        <f>TRIM(PROPER(Table1[[#This Row],[Department ]]))</f>
        <v>Orthopedics</v>
      </c>
      <c r="K62" t="s">
        <v>79</v>
      </c>
      <c r="L62" t="s">
        <v>80</v>
      </c>
      <c r="M62" s="1">
        <v>14077</v>
      </c>
      <c r="N62" s="1">
        <v>2246</v>
      </c>
      <c r="O62" s="1">
        <v>6095</v>
      </c>
      <c r="P62" s="1">
        <v>22418</v>
      </c>
      <c r="Q62" t="s">
        <v>50</v>
      </c>
      <c r="R62" t="s">
        <v>26</v>
      </c>
    </row>
    <row r="63" spans="1:18" x14ac:dyDescent="0.35">
      <c r="A63" s="1">
        <v>1062</v>
      </c>
      <c r="B63" t="s">
        <v>181</v>
      </c>
      <c r="C63" s="1">
        <v>57</v>
      </c>
      <c r="D63" s="1" t="s">
        <v>28</v>
      </c>
      <c r="E63" t="s">
        <v>19</v>
      </c>
      <c r="F63" t="s">
        <v>78</v>
      </c>
      <c r="G63" t="s">
        <v>76</v>
      </c>
      <c r="H63" s="1">
        <v>3</v>
      </c>
      <c r="I63" t="s">
        <v>22</v>
      </c>
      <c r="J63" t="str">
        <f>TRIM(PROPER(Table1[[#This Row],[Department ]]))</f>
        <v>Gynecology</v>
      </c>
      <c r="K63" t="s">
        <v>32</v>
      </c>
      <c r="L63" t="s">
        <v>33</v>
      </c>
      <c r="M63" s="1">
        <v>13648</v>
      </c>
      <c r="N63" s="1">
        <v>5248</v>
      </c>
      <c r="O63" s="1">
        <v>4246</v>
      </c>
      <c r="P63" s="1">
        <v>23142</v>
      </c>
      <c r="Q63" t="s">
        <v>25</v>
      </c>
      <c r="R63" t="s">
        <v>26</v>
      </c>
    </row>
    <row r="64" spans="1:18" x14ac:dyDescent="0.35">
      <c r="A64" s="1">
        <v>1063</v>
      </c>
      <c r="B64" t="s">
        <v>183</v>
      </c>
      <c r="C64" s="1">
        <v>57</v>
      </c>
      <c r="D64" s="1" t="s">
        <v>28</v>
      </c>
      <c r="E64" t="s">
        <v>19</v>
      </c>
      <c r="F64" t="s">
        <v>143</v>
      </c>
      <c r="G64" t="s">
        <v>126</v>
      </c>
      <c r="H64" s="1">
        <v>1</v>
      </c>
      <c r="I64" t="s">
        <v>39</v>
      </c>
      <c r="J64" t="str">
        <f>TRIM(PROPER(Table1[[#This Row],[Department ]]))</f>
        <v>Orthopedics</v>
      </c>
      <c r="K64" t="s">
        <v>79</v>
      </c>
      <c r="L64" t="s">
        <v>80</v>
      </c>
      <c r="M64" s="1">
        <v>22571</v>
      </c>
      <c r="N64" s="1">
        <v>7580</v>
      </c>
      <c r="O64" s="1">
        <v>3167</v>
      </c>
      <c r="P64" s="1">
        <v>33318</v>
      </c>
      <c r="Q64" t="s">
        <v>34</v>
      </c>
      <c r="R64" t="s">
        <v>26</v>
      </c>
    </row>
    <row r="65" spans="1:18" x14ac:dyDescent="0.35">
      <c r="A65" s="1">
        <v>1064</v>
      </c>
      <c r="B65" t="s">
        <v>184</v>
      </c>
      <c r="C65" s="1">
        <v>36</v>
      </c>
      <c r="D65" s="1" t="s">
        <v>18</v>
      </c>
      <c r="E65" t="s">
        <v>19</v>
      </c>
      <c r="F65" t="s">
        <v>63</v>
      </c>
      <c r="G65" t="s">
        <v>64</v>
      </c>
      <c r="H65" s="1">
        <v>1</v>
      </c>
      <c r="I65" t="s">
        <v>65</v>
      </c>
      <c r="J65" t="str">
        <f>TRIM(PROPER(Table1[[#This Row],[Department ]]))</f>
        <v>Neurology</v>
      </c>
      <c r="K65" t="s">
        <v>48</v>
      </c>
      <c r="L65" t="s">
        <v>49</v>
      </c>
      <c r="M65" s="1">
        <v>17097</v>
      </c>
      <c r="N65" s="1">
        <v>2642</v>
      </c>
      <c r="O65" s="1">
        <v>6038</v>
      </c>
      <c r="P65" s="1">
        <v>25777</v>
      </c>
      <c r="Q65" t="s">
        <v>69</v>
      </c>
      <c r="R65" t="s">
        <v>114</v>
      </c>
    </row>
    <row r="66" spans="1:18" x14ac:dyDescent="0.35">
      <c r="A66" s="1">
        <v>1065</v>
      </c>
      <c r="B66" t="s">
        <v>185</v>
      </c>
      <c r="C66" s="1">
        <v>47</v>
      </c>
      <c r="D66" s="1" t="s">
        <v>18</v>
      </c>
      <c r="E66" t="s">
        <v>36</v>
      </c>
      <c r="F66" t="s">
        <v>186</v>
      </c>
      <c r="G66" t="s">
        <v>67</v>
      </c>
      <c r="H66" s="1">
        <v>5</v>
      </c>
      <c r="I66" t="s">
        <v>39</v>
      </c>
      <c r="J66" t="str">
        <f>TRIM(PROPER(Table1[[#This Row],[Department ]]))</f>
        <v>Orthopedics</v>
      </c>
      <c r="K66" t="s">
        <v>79</v>
      </c>
      <c r="L66" t="s">
        <v>80</v>
      </c>
      <c r="M66" s="1">
        <v>18251</v>
      </c>
      <c r="N66" s="1">
        <v>5948</v>
      </c>
      <c r="O66" s="1">
        <v>6726</v>
      </c>
      <c r="P66" s="1">
        <v>30925</v>
      </c>
      <c r="Q66" t="s">
        <v>25</v>
      </c>
      <c r="R66" t="s">
        <v>26</v>
      </c>
    </row>
    <row r="67" spans="1:18" x14ac:dyDescent="0.35">
      <c r="A67" s="1">
        <v>1066</v>
      </c>
      <c r="B67" t="s">
        <v>35</v>
      </c>
      <c r="C67" s="1">
        <v>52</v>
      </c>
      <c r="D67" s="1" t="s">
        <v>28</v>
      </c>
      <c r="E67" t="s">
        <v>36</v>
      </c>
      <c r="F67" t="s">
        <v>46</v>
      </c>
      <c r="G67" t="s">
        <v>187</v>
      </c>
      <c r="H67" s="1">
        <v>3</v>
      </c>
      <c r="I67" t="s">
        <v>22</v>
      </c>
      <c r="J67" t="str">
        <f>TRIM(PROPER(Table1[[#This Row],[Department ]]))</f>
        <v>Cardiology</v>
      </c>
      <c r="K67" t="s">
        <v>23</v>
      </c>
      <c r="L67" t="s">
        <v>24</v>
      </c>
      <c r="M67" s="1">
        <v>6300</v>
      </c>
      <c r="N67" s="1">
        <v>2423</v>
      </c>
      <c r="O67" s="1">
        <v>8390</v>
      </c>
      <c r="P67" s="1">
        <v>17113</v>
      </c>
      <c r="Q67" t="s">
        <v>69</v>
      </c>
      <c r="R67" t="s">
        <v>70</v>
      </c>
    </row>
    <row r="68" spans="1:18" x14ac:dyDescent="0.35">
      <c r="A68" s="1">
        <v>1067</v>
      </c>
      <c r="B68" t="s">
        <v>188</v>
      </c>
      <c r="C68" s="1">
        <v>32</v>
      </c>
      <c r="D68" s="1" t="s">
        <v>52</v>
      </c>
      <c r="E68" t="s">
        <v>36</v>
      </c>
      <c r="F68" t="s">
        <v>156</v>
      </c>
      <c r="G68" t="s">
        <v>124</v>
      </c>
      <c r="H68" s="1">
        <v>10</v>
      </c>
      <c r="I68" t="s">
        <v>22</v>
      </c>
      <c r="J68" t="str">
        <f>TRIM(PROPER(Table1[[#This Row],[Department ]]))</f>
        <v>General Medicine</v>
      </c>
      <c r="K68" t="s">
        <v>40</v>
      </c>
      <c r="L68" t="s">
        <v>41</v>
      </c>
      <c r="M68" s="1">
        <v>11376</v>
      </c>
      <c r="N68" s="1">
        <v>6511</v>
      </c>
      <c r="O68" s="1">
        <v>3787</v>
      </c>
      <c r="P68" s="1">
        <v>21674</v>
      </c>
      <c r="Q68" t="s">
        <v>34</v>
      </c>
      <c r="R68" t="s">
        <v>26</v>
      </c>
    </row>
    <row r="69" spans="1:18" x14ac:dyDescent="0.35">
      <c r="A69" s="1">
        <v>1068</v>
      </c>
      <c r="B69" t="s">
        <v>189</v>
      </c>
      <c r="C69" s="1">
        <v>24</v>
      </c>
      <c r="D69" s="1" t="s">
        <v>43</v>
      </c>
      <c r="E69" t="s">
        <v>36</v>
      </c>
      <c r="F69" t="s">
        <v>190</v>
      </c>
      <c r="G69" t="s">
        <v>140</v>
      </c>
      <c r="H69" s="1">
        <v>1</v>
      </c>
      <c r="I69" t="s">
        <v>22</v>
      </c>
      <c r="J69" t="str">
        <f>TRIM(PROPER(Table1[[#This Row],[Department ]]))</f>
        <v>Gynecology</v>
      </c>
      <c r="K69" t="s">
        <v>32</v>
      </c>
      <c r="L69" t="s">
        <v>33</v>
      </c>
      <c r="M69" s="1">
        <v>10581</v>
      </c>
      <c r="N69" s="1">
        <v>3512</v>
      </c>
      <c r="O69" s="1">
        <v>6612</v>
      </c>
      <c r="P69" s="1">
        <v>20705</v>
      </c>
      <c r="Q69" t="s">
        <v>69</v>
      </c>
      <c r="R69" t="s">
        <v>114</v>
      </c>
    </row>
    <row r="70" spans="1:18" x14ac:dyDescent="0.35">
      <c r="A70" s="1">
        <v>1069</v>
      </c>
      <c r="B70" t="s">
        <v>191</v>
      </c>
      <c r="C70" s="1">
        <v>25</v>
      </c>
      <c r="D70" s="1" t="s">
        <v>52</v>
      </c>
      <c r="E70" t="s">
        <v>19</v>
      </c>
      <c r="F70" t="s">
        <v>192</v>
      </c>
      <c r="G70" t="s">
        <v>190</v>
      </c>
      <c r="H70" s="1">
        <v>5</v>
      </c>
      <c r="I70" t="s">
        <v>31</v>
      </c>
      <c r="J70" t="str">
        <f>TRIM(PROPER(Table1[[#This Row],[Department ]]))</f>
        <v>Orthopedics</v>
      </c>
      <c r="K70" t="s">
        <v>79</v>
      </c>
      <c r="L70" t="s">
        <v>80</v>
      </c>
      <c r="M70" s="1">
        <v>24340</v>
      </c>
      <c r="N70" s="1">
        <v>4804</v>
      </c>
      <c r="O70" s="1">
        <v>7077</v>
      </c>
      <c r="P70" s="1">
        <v>36221</v>
      </c>
      <c r="Q70" t="s">
        <v>25</v>
      </c>
      <c r="R70" t="s">
        <v>26</v>
      </c>
    </row>
    <row r="71" spans="1:18" x14ac:dyDescent="0.35">
      <c r="A71" s="1">
        <v>1070</v>
      </c>
      <c r="B71" t="s">
        <v>193</v>
      </c>
      <c r="C71" s="1">
        <v>59</v>
      </c>
      <c r="D71" s="1" t="s">
        <v>28</v>
      </c>
      <c r="E71" t="s">
        <v>36</v>
      </c>
      <c r="F71" t="s">
        <v>73</v>
      </c>
      <c r="G71" t="s">
        <v>170</v>
      </c>
      <c r="H71" s="1">
        <v>3</v>
      </c>
      <c r="I71" t="s">
        <v>31</v>
      </c>
      <c r="J71" t="str">
        <f>TRIM(PROPER(Table1[[#This Row],[Department ]]))</f>
        <v>Gynecology</v>
      </c>
      <c r="K71" t="s">
        <v>32</v>
      </c>
      <c r="L71" t="s">
        <v>33</v>
      </c>
      <c r="M71" s="1">
        <v>9734</v>
      </c>
      <c r="N71" s="1">
        <v>3734</v>
      </c>
      <c r="O71" s="1">
        <v>5502</v>
      </c>
      <c r="P71" s="1">
        <v>18970</v>
      </c>
      <c r="Q71" t="s">
        <v>25</v>
      </c>
      <c r="R71" t="s">
        <v>26</v>
      </c>
    </row>
    <row r="72" spans="1:18" x14ac:dyDescent="0.35">
      <c r="C72" s="1"/>
      <c r="D72" s="1"/>
      <c r="M72" s="1"/>
      <c r="N72" s="1"/>
      <c r="O72" s="1"/>
      <c r="P72" s="1"/>
    </row>
    <row r="73" spans="1:18" x14ac:dyDescent="0.35">
      <c r="M73" s="1"/>
      <c r="N73" s="1"/>
      <c r="O73" s="1"/>
      <c r="P73" s="1"/>
    </row>
    <row r="74" spans="1:18" x14ac:dyDescent="0.35">
      <c r="M74" s="1"/>
      <c r="N74" s="1"/>
      <c r="O74" s="1"/>
      <c r="P74" s="1"/>
    </row>
    <row r="75" spans="1:18" x14ac:dyDescent="0.35">
      <c r="M75" s="1"/>
      <c r="N75" s="1"/>
      <c r="O75" s="1"/>
      <c r="P75" s="1"/>
    </row>
    <row r="76" spans="1:18" x14ac:dyDescent="0.35">
      <c r="M76" s="1"/>
      <c r="N76" s="1"/>
      <c r="O76" s="1"/>
      <c r="P76" s="1"/>
    </row>
    <row r="77" spans="1:18" x14ac:dyDescent="0.35">
      <c r="M77" s="1"/>
      <c r="N77" s="1"/>
      <c r="O77" s="1"/>
      <c r="P77" s="1"/>
    </row>
    <row r="78" spans="1:18" x14ac:dyDescent="0.35">
      <c r="M78" s="1"/>
      <c r="N78" s="1"/>
      <c r="O78" s="1"/>
      <c r="P78" s="1"/>
    </row>
    <row r="79" spans="1:18" x14ac:dyDescent="0.35">
      <c r="M79" s="1"/>
      <c r="N79" s="1"/>
      <c r="O79" s="1"/>
      <c r="P79" s="1"/>
    </row>
    <row r="80" spans="1:18" x14ac:dyDescent="0.35">
      <c r="M80" s="1"/>
      <c r="N80" s="1"/>
      <c r="O80" s="1"/>
      <c r="P80" s="1"/>
    </row>
    <row r="81" spans="13:16" x14ac:dyDescent="0.35">
      <c r="M81" s="1"/>
      <c r="N81" s="1"/>
      <c r="O81" s="1"/>
      <c r="P81" s="1"/>
    </row>
    <row r="82" spans="13:16" x14ac:dyDescent="0.35">
      <c r="M82" s="1"/>
      <c r="N82" s="1"/>
      <c r="O82" s="1"/>
      <c r="P82" s="1"/>
    </row>
    <row r="83" spans="13:16" x14ac:dyDescent="0.35">
      <c r="M83" s="1"/>
      <c r="N83" s="1"/>
      <c r="O83" s="1"/>
      <c r="P83" s="1"/>
    </row>
    <row r="84" spans="13:16" x14ac:dyDescent="0.35">
      <c r="M84" s="1"/>
      <c r="N84" s="1"/>
      <c r="O84" s="1"/>
      <c r="P84" s="1"/>
    </row>
    <row r="85" spans="13:16" x14ac:dyDescent="0.35">
      <c r="M85" s="1"/>
      <c r="N85" s="1"/>
      <c r="O85" s="1"/>
      <c r="P85"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844FB-6DF3-4BAA-96F2-CB3F212EF3AB}">
  <dimension ref="A1:B49"/>
  <sheetViews>
    <sheetView workbookViewId="0">
      <selection activeCell="C37" sqref="C37"/>
    </sheetView>
  </sheetViews>
  <sheetFormatPr defaultRowHeight="14.5" x14ac:dyDescent="0.35"/>
  <cols>
    <col min="1" max="1" width="15.54296875" bestFit="1" customWidth="1"/>
    <col min="2" max="2" width="30" customWidth="1"/>
  </cols>
  <sheetData>
    <row r="1" spans="1:2" ht="18.5" x14ac:dyDescent="0.45">
      <c r="A1" s="5" t="s">
        <v>200</v>
      </c>
    </row>
    <row r="3" spans="1:2" x14ac:dyDescent="0.35">
      <c r="A3" s="2" t="s">
        <v>196</v>
      </c>
      <c r="B3" t="s">
        <v>198</v>
      </c>
    </row>
    <row r="4" spans="1:2" x14ac:dyDescent="0.35">
      <c r="A4" s="3" t="s">
        <v>23</v>
      </c>
      <c r="B4" s="4">
        <v>5123</v>
      </c>
    </row>
    <row r="5" spans="1:2" x14ac:dyDescent="0.35">
      <c r="A5" s="3" t="s">
        <v>40</v>
      </c>
      <c r="B5" s="4">
        <v>2076</v>
      </c>
    </row>
    <row r="6" spans="1:2" x14ac:dyDescent="0.35">
      <c r="A6" s="3" t="s">
        <v>32</v>
      </c>
      <c r="B6" s="4">
        <v>5176</v>
      </c>
    </row>
    <row r="7" spans="1:2" x14ac:dyDescent="0.35">
      <c r="A7" s="3" t="s">
        <v>48</v>
      </c>
      <c r="B7" s="4">
        <v>3110</v>
      </c>
    </row>
    <row r="8" spans="1:2" x14ac:dyDescent="0.35">
      <c r="A8" s="3" t="s">
        <v>79</v>
      </c>
      <c r="B8" s="4">
        <v>3118</v>
      </c>
    </row>
    <row r="9" spans="1:2" x14ac:dyDescent="0.35">
      <c r="A9" s="3" t="s">
        <v>197</v>
      </c>
      <c r="B9" s="4">
        <v>18603</v>
      </c>
    </row>
    <row r="11" spans="1:2" ht="18.5" x14ac:dyDescent="0.45">
      <c r="A11" s="6" t="s">
        <v>201</v>
      </c>
    </row>
    <row r="13" spans="1:2" x14ac:dyDescent="0.35">
      <c r="A13" s="2" t="s">
        <v>196</v>
      </c>
      <c r="B13" t="s">
        <v>213</v>
      </c>
    </row>
    <row r="14" spans="1:2" x14ac:dyDescent="0.35">
      <c r="A14" s="3" t="s">
        <v>39</v>
      </c>
      <c r="B14" s="4">
        <v>18598</v>
      </c>
    </row>
    <row r="15" spans="1:2" x14ac:dyDescent="0.35">
      <c r="A15" s="3" t="s">
        <v>31</v>
      </c>
      <c r="B15" s="4">
        <v>16500</v>
      </c>
    </row>
    <row r="16" spans="1:2" x14ac:dyDescent="0.35">
      <c r="A16" s="3" t="s">
        <v>22</v>
      </c>
      <c r="B16" s="4">
        <v>18661</v>
      </c>
    </row>
    <row r="17" spans="1:2" x14ac:dyDescent="0.35">
      <c r="A17" s="3" t="s">
        <v>65</v>
      </c>
      <c r="B17" s="4">
        <v>10448</v>
      </c>
    </row>
    <row r="18" spans="1:2" x14ac:dyDescent="0.35">
      <c r="A18" s="3" t="s">
        <v>61</v>
      </c>
      <c r="B18" s="4">
        <v>8278</v>
      </c>
    </row>
    <row r="19" spans="1:2" x14ac:dyDescent="0.35">
      <c r="A19" s="3" t="s">
        <v>197</v>
      </c>
      <c r="B19" s="4">
        <v>72485</v>
      </c>
    </row>
    <row r="21" spans="1:2" ht="18.5" x14ac:dyDescent="0.45">
      <c r="A21" s="6" t="s">
        <v>202</v>
      </c>
    </row>
    <row r="24" spans="1:2" x14ac:dyDescent="0.35">
      <c r="A24" s="2" t="s">
        <v>196</v>
      </c>
      <c r="B24" t="s">
        <v>199</v>
      </c>
    </row>
    <row r="25" spans="1:2" x14ac:dyDescent="0.35">
      <c r="A25" s="3" t="s">
        <v>23</v>
      </c>
      <c r="B25" s="4">
        <v>293565</v>
      </c>
    </row>
    <row r="26" spans="1:2" x14ac:dyDescent="0.35">
      <c r="A26" s="3" t="s">
        <v>40</v>
      </c>
      <c r="B26" s="4">
        <v>334208</v>
      </c>
    </row>
    <row r="27" spans="1:2" x14ac:dyDescent="0.35">
      <c r="A27" s="3" t="s">
        <v>32</v>
      </c>
      <c r="B27" s="4">
        <v>467951</v>
      </c>
    </row>
    <row r="28" spans="1:2" x14ac:dyDescent="0.35">
      <c r="A28" s="3" t="s">
        <v>48</v>
      </c>
      <c r="B28" s="4">
        <v>294772</v>
      </c>
    </row>
    <row r="29" spans="1:2" x14ac:dyDescent="0.35">
      <c r="A29" s="3" t="s">
        <v>79</v>
      </c>
      <c r="B29" s="4">
        <v>492630</v>
      </c>
    </row>
    <row r="30" spans="1:2" x14ac:dyDescent="0.35">
      <c r="A30" s="3" t="s">
        <v>197</v>
      </c>
      <c r="B30" s="4">
        <v>1883126</v>
      </c>
    </row>
    <row r="32" spans="1:2" ht="18.5" x14ac:dyDescent="0.45">
      <c r="A32" s="5" t="s">
        <v>203</v>
      </c>
    </row>
    <row r="34" spans="1:2" x14ac:dyDescent="0.35">
      <c r="A34" s="2" t="s">
        <v>196</v>
      </c>
      <c r="B34" t="s">
        <v>212</v>
      </c>
    </row>
    <row r="35" spans="1:2" x14ac:dyDescent="0.35">
      <c r="A35" s="3" t="s">
        <v>23</v>
      </c>
      <c r="B35" s="4">
        <v>54</v>
      </c>
    </row>
    <row r="36" spans="1:2" x14ac:dyDescent="0.35">
      <c r="A36" s="3" t="s">
        <v>40</v>
      </c>
      <c r="B36" s="4">
        <v>60</v>
      </c>
    </row>
    <row r="37" spans="1:2" x14ac:dyDescent="0.35">
      <c r="A37" s="3" t="s">
        <v>32</v>
      </c>
      <c r="B37" s="4">
        <v>83</v>
      </c>
    </row>
    <row r="38" spans="1:2" x14ac:dyDescent="0.35">
      <c r="A38" s="3" t="s">
        <v>48</v>
      </c>
      <c r="B38" s="4">
        <v>52</v>
      </c>
    </row>
    <row r="39" spans="1:2" x14ac:dyDescent="0.35">
      <c r="A39" s="3" t="s">
        <v>79</v>
      </c>
      <c r="B39" s="4">
        <v>91</v>
      </c>
    </row>
    <row r="40" spans="1:2" x14ac:dyDescent="0.35">
      <c r="A40" s="3" t="s">
        <v>197</v>
      </c>
      <c r="B40" s="4">
        <v>340</v>
      </c>
    </row>
    <row r="42" spans="1:2" ht="18.5" x14ac:dyDescent="0.45">
      <c r="A42" s="6" t="s">
        <v>204</v>
      </c>
    </row>
    <row r="44" spans="1:2" x14ac:dyDescent="0.35">
      <c r="A44" s="2" t="s">
        <v>196</v>
      </c>
      <c r="B44" t="s">
        <v>214</v>
      </c>
    </row>
    <row r="45" spans="1:2" x14ac:dyDescent="0.35">
      <c r="A45" s="3" t="s">
        <v>25</v>
      </c>
      <c r="B45" s="4">
        <v>20768</v>
      </c>
    </row>
    <row r="46" spans="1:2" x14ac:dyDescent="0.35">
      <c r="A46" s="3" t="s">
        <v>50</v>
      </c>
      <c r="B46" s="4">
        <v>18603</v>
      </c>
    </row>
    <row r="47" spans="1:2" x14ac:dyDescent="0.35">
      <c r="A47" s="3" t="s">
        <v>69</v>
      </c>
      <c r="B47" s="4">
        <v>17707</v>
      </c>
    </row>
    <row r="48" spans="1:2" x14ac:dyDescent="0.35">
      <c r="A48" s="3" t="s">
        <v>34</v>
      </c>
      <c r="B48" s="4">
        <v>15407</v>
      </c>
    </row>
    <row r="49" spans="1:2" x14ac:dyDescent="0.35">
      <c r="A49" s="3" t="s">
        <v>197</v>
      </c>
      <c r="B49" s="4">
        <v>72485</v>
      </c>
    </row>
  </sheetData>
  <pageMargins left="0.7" right="0.7" top="0.75" bottom="0.75" header="0.3" footer="0.3"/>
  <pageSetup paperSize="9" orientation="portrait"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CDB0F-1E73-451E-8913-F9C803605F14}">
  <dimension ref="A1:A75"/>
  <sheetViews>
    <sheetView topLeftCell="A15" workbookViewId="0">
      <selection activeCell="A77" sqref="A77"/>
    </sheetView>
  </sheetViews>
  <sheetFormatPr defaultRowHeight="14.5" x14ac:dyDescent="0.35"/>
  <sheetData>
    <row r="1" spans="1:1" ht="21" x14ac:dyDescent="0.5">
      <c r="A1" s="7" t="s">
        <v>200</v>
      </c>
    </row>
    <row r="19" spans="1:1" ht="21" x14ac:dyDescent="0.5">
      <c r="A19" s="7" t="s">
        <v>201</v>
      </c>
    </row>
    <row r="38" spans="1:1" ht="21" x14ac:dyDescent="0.5">
      <c r="A38" s="7" t="s">
        <v>202</v>
      </c>
    </row>
    <row r="56" spans="1:1" ht="21" x14ac:dyDescent="0.5">
      <c r="A56" s="7" t="s">
        <v>203</v>
      </c>
    </row>
    <row r="75" spans="1:1" ht="21" x14ac:dyDescent="0.5">
      <c r="A75" s="7" t="s">
        <v>204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D0C42-4669-4499-A305-562355FD5E31}">
  <dimension ref="A1:AP4"/>
  <sheetViews>
    <sheetView showGridLines="0" tabSelected="1" workbookViewId="0">
      <selection activeCell="J6" sqref="J6"/>
    </sheetView>
  </sheetViews>
  <sheetFormatPr defaultRowHeight="14.5" x14ac:dyDescent="0.35"/>
  <cols>
    <col min="4" max="4" width="4.08984375" customWidth="1"/>
    <col min="7" max="7" width="5.08984375" customWidth="1"/>
    <col min="10" max="10" width="4.6328125" customWidth="1"/>
  </cols>
  <sheetData>
    <row r="1" spans="1:42" ht="28.5" x14ac:dyDescent="0.65">
      <c r="A1" s="13" t="s">
        <v>215</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row>
    <row r="3" spans="1:42" ht="15.5" x14ac:dyDescent="0.35">
      <c r="B3" s="8" t="s">
        <v>205</v>
      </c>
      <c r="C3" s="8"/>
      <c r="D3" s="9"/>
      <c r="E3" s="8" t="s">
        <v>199</v>
      </c>
      <c r="F3" s="8"/>
      <c r="G3" s="9"/>
      <c r="H3" s="8" t="s">
        <v>210</v>
      </c>
      <c r="I3" s="8"/>
      <c r="J3" s="9"/>
      <c r="K3" s="10" t="s">
        <v>211</v>
      </c>
      <c r="L3" s="11"/>
      <c r="O3" s="1"/>
    </row>
    <row r="4" spans="1:42" ht="15.5" x14ac:dyDescent="0.35">
      <c r="B4" s="12">
        <f>GETPIVOTDATA("Patient_ID",'Pivot Table'!$A$3)</f>
        <v>18603</v>
      </c>
      <c r="C4" s="12"/>
      <c r="D4" s="9"/>
      <c r="E4" s="12">
        <f>GETPIVOTDATA("[Measures].[Sum of Total_Bill]",'Pivot Table'!$A$24)</f>
        <v>1883126</v>
      </c>
      <c r="F4" s="12"/>
      <c r="G4" s="9"/>
      <c r="H4" s="12">
        <f>GETPIVOTDATA("[Measures].[Sum of Length_of_Stay_Days]",'Pivot Table'!$A$34)</f>
        <v>340</v>
      </c>
      <c r="I4" s="12"/>
      <c r="J4" s="9"/>
      <c r="K4" s="12">
        <f>E4/B4</f>
        <v>101.22700639681771</v>
      </c>
      <c r="L4" s="12"/>
    </row>
  </sheetData>
  <mergeCells count="9">
    <mergeCell ref="A1:AP1"/>
    <mergeCell ref="B4:C4"/>
    <mergeCell ref="E4:F4"/>
    <mergeCell ref="H3:I3"/>
    <mergeCell ref="H4:I4"/>
    <mergeCell ref="K4:L4"/>
    <mergeCell ref="K3:L3"/>
    <mergeCell ref="E3:F3"/>
    <mergeCell ref="B3:C3"/>
  </mergeCells>
  <conditionalFormatting sqref="B3:C3">
    <cfRule type="colorScale" priority="1">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Cleaned Data</vt:lpstr>
      <vt:lpstr>Pivot Table</vt:lpstr>
      <vt:lpstr>Pivot 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 ACRON</dc:creator>
  <cp:lastModifiedBy>mehar gaush</cp:lastModifiedBy>
  <dcterms:created xsi:type="dcterms:W3CDTF">2026-02-07T14:42:53Z</dcterms:created>
  <dcterms:modified xsi:type="dcterms:W3CDTF">2026-02-09T04:05:50Z</dcterms:modified>
</cp:coreProperties>
</file>